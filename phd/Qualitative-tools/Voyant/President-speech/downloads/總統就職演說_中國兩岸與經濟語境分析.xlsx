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af95ce8b0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摘要" sheetId="1" r:id="Rc44a853029c54238"/>
    <x:sheet xmlns:r="http://schemas.openxmlformats.org/officeDocument/2006/relationships" name="逐句編碼" sheetId="2" r:id="R82a0c81f67704a5a"/>
    <x:sheet xmlns:r="http://schemas.openxmlformats.org/officeDocument/2006/relationships" name="經濟年度摘要" sheetId="3" r:id="Rb2c9ee27e8cd45cf"/>
    <x:sheet xmlns:r="http://schemas.openxmlformats.org/officeDocument/2006/relationships" name="經濟逐句編碼" sheetId="4" r:id="Rdcb6f58c589b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17365D"/>
      <x:name val="Arial"/>
    </x:font>
    <x:font>
      <x:sz val="11"/>
      <x:name val="Arial"/>
    </x:font>
    <x:font>
      <x:b/>
      <x:sz val="14"/>
      <x:color rgb="FF375623"/>
      <x:name val="Arial"/>
    </x:font>
    <x:font>
      <x:sz val="10"/>
      <x:color rgb="FF37562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E2F0D9"/>
      </x:patternFill>
    </x:fill>
  </x:fills>
  <x:borders count="16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375623"/>
      </x:bottom>
    </x:border>
    <x:border>
      <x:bottom style="thin">
        <x:color rgb="FFD6E4CF"/>
      </x:bottom>
    </x:border>
    <x:border>
      <x:top style="thin">
        <x:color rgb="FFD6E4CF"/>
      </x:top>
      <x:bottom style="thin">
        <x:color rgb="FFD6E4CF"/>
      </x:bottom>
    </x:border>
    <x:border>
      <x:top style="thin">
        <x:color rgb="FFD6E4CF"/>
      </x:top>
    </x:border>
    <x:border>
      <x:left style="thin">
        <x:color rgb="FFD6E4CF"/>
      </x:left>
      <x:right style="thin">
        <x:color rgb="FFD6E4CF"/>
      </x:right>
      <x:top style="thin">
        <x:color rgb="FFD6E4CF"/>
      </x:top>
      <x:bottom style="thin">
        <x:color rgb="FFD6E4CF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horizontal="center" vertical="top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horizontal="center" vertical="top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5" xfId="0" applyNumberFormat="1" applyFont="1" applyFill="1" applyBorder="1"/>
    <x:xf numFmtId="0" fontId="8" fillId="5" borderId="15" xfId="0" applyNumberFormat="1" applyFont="1" applyFill="1" applyBorder="1" applyAlignment="1">
      <x:alignment wrapText="1"/>
    </x:xf>
    <x:xf numFmtId="0" fontId="6" fillId="0" borderId="11" xfId="0" applyNumberFormat="1" applyFont="1" applyFill="1" applyBorder="1"/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8b342e0ae4f4a" /><Relationship Type="http://schemas.openxmlformats.org/officeDocument/2006/relationships/theme" Target="/xl/theme/theme1.xml" Id="Rfafd562ff897400b" /><Relationship Type="http://schemas.openxmlformats.org/officeDocument/2006/relationships/sharedStrings" Target="/xl/sharedStrings.xml" Id="R3b48527460034ad8" /><Relationship Type="http://schemas.openxmlformats.org/officeDocument/2006/relationships/worksheet" Target="/xl/worksheets/sheet1.xml" Id="Rc44a853029c54238" /><Relationship Type="http://schemas.openxmlformats.org/officeDocument/2006/relationships/worksheet" Target="/xl/worksheets/sheet2.xml" Id="R82a0c81f67704a5a" /><Relationship Type="http://schemas.openxmlformats.org/officeDocument/2006/relationships/worksheet" Target="/xl/worksheets/sheet3.xml" Id="Rb2c9ee27e8cd45cf" /><Relationship Type="http://schemas.openxmlformats.org/officeDocument/2006/relationships/worksheet" Target="/xl/worksheets/sheet4.xml" Id="Rdcb6f58c589b4c16" /></Relationships>
</file>

<file path=xl/tables/table1.xml><?xml version="1.0" encoding="utf-8"?>
<x:table xmlns:x="http://schemas.openxmlformats.org/spreadsheetml/2006/main" id="1" name="ContextCodingTable" displayName="ContextCodingTable" ref="A4:M108" headerRowCount="1" totalsRowCount="0" totalsRowShown="0">
  <x:autoFilter ref="A4:M108"/>
  <x:tableColumns count="13">
    <x:tableColumn id="1" name="紀錄ID"/>
    <x:tableColumn id="2" name="年份"/>
    <x:tableColumn id="3" name="總統"/>
    <x:tableColumn id="4" name="命中搜尋詞"/>
    <x:tableColumn id="5" name="完整句子"/>
    <x:tableColumn id="6" name="指涉對象"/>
    <x:tableColumn id="7" name="主要編碼"/>
    <x:tableColumn id="8" name="次要編碼"/>
    <x:tableColumn id="9" name="判斷線索"/>
    <x:tableColumn id="10" name="政策目標"/>
    <x:tableColumn id="11" name="直接涉及對中態度"/>
    <x:tableColumn id="12" name="複核註記"/>
    <x:tableColumn id="13" name="官方來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conomicContextTable" displayName="EconomicContextTable" ref="A4:L156" headerRowCount="1" totalsRowCount="0" totalsRowShown="0">
  <x:autoFilter ref="A4:L156"/>
  <x:tableColumns count="12">
    <x:tableColumn id="1" name="紀錄ID"/>
    <x:tableColumn id="2" name="年份"/>
    <x:tableColumn id="3" name="總統"/>
    <x:tableColumn id="4" name="命中搜尋詞"/>
    <x:tableColumn id="5" name="完整句子"/>
    <x:tableColumn id="6" name="是否經濟用法"/>
    <x:tableColumn id="7" name="主要主題"/>
    <x:tableColumn id="8" name="次要主題"/>
    <x:tableColumn id="9" name="判斷線索"/>
    <x:tableColumn id="10" name="時期標籤"/>
    <x:tableColumn id="11" name="複核註記"/>
    <x:tableColumn id="12" name="官方來源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6ed1d1c0d2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3615b34e0146b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12" hidden="0" customWidth="1"/>
    <x:col min="13" max="13" width="28" hidden="0" customWidth="1"/>
    <x:col min="14" max="14" width="58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5" customHeight="1">
      <x:c r="A2" s="2" t="str">
        <x:v>總統就職演說中的中國／兩岸語境分析（1996–2024）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 ht="34" customHeight="1">
      <x:c r="A3" s="4" t="str">
        <x:v>分析詞："中 國"、"兩 岸"、對岸、北京。單位為包含任一搜尋詞的完整句子；主要編碼為合作、和解、防衛、威脅或中性／背景。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28" customHeight="1">
      <x:c r="A6" s="17" t="str">
        <x:v>年份</x:v>
      </x:c>
      <x:c r="B6" s="18" t="str">
        <x:v>總統</x:v>
      </x:c>
      <x:c r="C6" s="18" t="str">
        <x:v>句子筆數</x:v>
      </x:c>
      <x:c r="D6" s="18" t="str">
        <x:v>中國</x:v>
      </x:c>
      <x:c r="E6" s="18" t="str">
        <x:v>兩岸</x:v>
      </x:c>
      <x:c r="F6" s="18" t="str">
        <x:v>對岸</x:v>
      </x:c>
      <x:c r="G6" s="18" t="str">
        <x:v>北京</x:v>
      </x:c>
      <x:c r="H6" s="18" t="str">
        <x:v>合作</x:v>
      </x:c>
      <x:c r="I6" s="18" t="str">
        <x:v>和解</x:v>
      </x:c>
      <x:c r="J6" s="18" t="str">
        <x:v>防衛</x:v>
      </x:c>
      <x:c r="K6" s="18" t="str">
        <x:v>威脅</x:v>
      </x:c>
      <x:c r="L6" s="18" t="str">
        <x:v>中性／背景</x:v>
      </x:c>
      <x:c r="M6" s="18" t="str">
        <x:v>政策目標</x:v>
      </x:c>
      <x:c r="N6" s="19" t="str">
        <x:v>綜合判讀</x:v>
      </x:c>
    </x:row>
    <x:row r="7" ht="58" customHeight="1">
      <x:c r="A7" s="25" t="n">
        <x:v>1996</x:v>
      </x:c>
      <x:c r="B7" s="25" t="str">
        <x:v>李登輝</x:v>
      </x:c>
      <x:c r="C7" s="25" t="n">
        <x:f>COUNTIFS('逐句編碼'!$B$5:$B$108,A7)</x:f>
        <x:v>23</x:v>
      </x:c>
      <x:c r="D7" s="25" t="n">
        <x:v>19</x:v>
      </x:c>
      <x:c r="E7" s="25" t="n">
        <x:v>9</x:v>
      </x:c>
      <x:c r="F7" s="25" t="n">
        <x:v>0</x:v>
      </x:c>
      <x:c r="G7" s="25" t="n">
        <x:v>0</x:v>
      </x:c>
      <x:c r="H7" s="25" t="n">
        <x:f>COUNTIFS('逐句編碼'!$B$5:$B$108,$A7,'逐句編碼'!$G$5:$G$108,"合作")</x:f>
        <x:v>3</x:v>
      </x:c>
      <x:c r="I7" s="25" t="n">
        <x:f>COUNTIFS('逐句編碼'!$B$5:$B$108,$A7,'逐句編碼'!$G$5:$G$108,"和解")</x:f>
        <x:v>7</x:v>
      </x:c>
      <x:c r="J7" s="25" t="n">
        <x:f>COUNTIFS('逐句編碼'!$B$5:$B$108,$A7,'逐句編碼'!$G$5:$G$108,"防衛")</x:f>
        <x:v>0</x:v>
      </x:c>
      <x:c r="K7" s="25" t="n">
        <x:f>COUNTIFS('逐句編碼'!$B$5:$B$108,$A7,'逐句編碼'!$G$5:$G$108,"威脅")</x:f>
        <x:v>1</x:v>
      </x:c>
      <x:c r="L7" s="25" t="n">
        <x:f>COUNTIFS('逐句編碼'!$B$5:$B$108,$A7,'逐句編碼'!$G$5:$G$108,"中性／背景")</x:f>
        <x:v>12</x:v>
      </x:c>
      <x:c r="M7" s="26" t="str">
        <x:v>國家統一；以談判結束敵對</x:v>
      </x:c>
      <x:c r="N7" s="27" t="str">
        <x:v>中華民族與統一框架仍居核心；同時把中共施壓視為威脅，主張以對談、合作與和平統一化解。</x:v>
      </x:c>
    </x:row>
    <x:row r="8" ht="58" customHeight="1">
      <x:c r="A8" s="28" t="n">
        <x:v>2000</x:v>
      </x:c>
      <x:c r="B8" s="28" t="str">
        <x:v>陳水扁</x:v>
      </x:c>
      <x:c r="C8" s="28" t="n">
        <x:f>COUNTIFS('逐句編碼'!$B$5:$B$108,A8)</x:f>
        <x:v>9</x:v>
      </x:c>
      <x:c r="D8" s="28" t="n">
        <x:v>4</x:v>
      </x:c>
      <x:c r="E8" s="28" t="n">
        <x:v>7</x:v>
      </x:c>
      <x:c r="F8" s="28" t="n">
        <x:v>0</x:v>
      </x:c>
      <x:c r="G8" s="28" t="n">
        <x:v>0</x:v>
      </x:c>
      <x:c r="H8" s="28" t="n">
        <x:f>COUNTIFS('逐句編碼'!$B$5:$B$108,$A8,'逐句編碼'!$G$5:$G$108,"合作")</x:f>
        <x:v>1</x:v>
      </x:c>
      <x:c r="I8" s="28" t="n">
        <x:f>COUNTIFS('逐句編碼'!$B$5:$B$108,$A8,'逐句編碼'!$G$5:$G$108,"和解")</x:f>
        <x:v>4</x:v>
      </x:c>
      <x:c r="J8" s="28" t="n">
        <x:f>COUNTIFS('逐句編碼'!$B$5:$B$108,$A8,'逐句編碼'!$G$5:$G$108,"防衛")</x:f>
        <x:v>0</x:v>
      </x:c>
      <x:c r="K8" s="28" t="n">
        <x:f>COUNTIFS('逐句編碼'!$B$5:$B$108,$A8,'逐句編碼'!$G$5:$G$108,"威脅")</x:f>
        <x:v>0</x:v>
      </x:c>
      <x:c r="L8" s="28" t="n">
        <x:f>COUNTIFS('逐句編碼'!$B$5:$B$108,$A8,'逐句編碼'!$G$5:$G$108,"中性／背景")</x:f>
        <x:v>4</x:v>
      </x:c>
      <x:c r="M8" s="29" t="str">
        <x:v>維持現狀；善意和解</x:v>
      </x:c>
      <x:c r="N8" s="30" t="str">
        <x:v>以善意、民主對等與永久和平為主；對中國的稱呼多落在歷史文化與一個中國議題。</x:v>
      </x:c>
    </x:row>
    <x:row r="9" ht="58" customHeight="1">
      <x:c r="A9" s="28" t="n">
        <x:v>2004</x:v>
      </x:c>
      <x:c r="B9" s="28" t="str">
        <x:v>陳水扁</x:v>
      </x:c>
      <x:c r="C9" s="28" t="n">
        <x:f>COUNTIFS('逐句編碼'!$B$5:$B$108,A9)</x:f>
        <x:v>18</x:v>
      </x:c>
      <x:c r="D9" s="28" t="n">
        <x:v>3</x:v>
      </x:c>
      <x:c r="E9" s="28" t="n">
        <x:v>20</x:v>
      </x:c>
      <x:c r="F9" s="28" t="n">
        <x:v>4</x:v>
      </x:c>
      <x:c r="G9" s="28" t="n">
        <x:v>2</x:v>
      </x:c>
      <x:c r="H9" s="28" t="n">
        <x:f>COUNTIFS('逐句編碼'!$B$5:$B$108,$A9,'逐句編碼'!$G$5:$G$108,"合作")</x:f>
        <x:v>7</x:v>
      </x:c>
      <x:c r="I9" s="28" t="n">
        <x:f>COUNTIFS('逐句編碼'!$B$5:$B$108,$A9,'逐句編碼'!$G$5:$G$108,"和解")</x:f>
        <x:v>4</x:v>
      </x:c>
      <x:c r="J9" s="28" t="n">
        <x:f>COUNTIFS('逐句編碼'!$B$5:$B$108,$A9,'逐句編碼'!$G$5:$G$108,"防衛")</x:f>
        <x:v>3</x:v>
      </x:c>
      <x:c r="K9" s="28" t="n">
        <x:f>COUNTIFS('逐句編碼'!$B$5:$B$108,$A9,'逐句編碼'!$G$5:$G$108,"威脅")</x:f>
        <x:v>2</x:v>
      </x:c>
      <x:c r="L9" s="28" t="n">
        <x:f>COUNTIFS('逐句編碼'!$B$5:$B$108,$A9,'逐句編碼'!$G$5:$G$108,"中性／背景")</x:f>
        <x:v>2</x:v>
      </x:c>
      <x:c r="M9" s="29" t="str">
        <x:v>和平發展；自由選擇</x:v>
      </x:c>
      <x:c r="N9" s="30" t="str">
        <x:v>合作與和平發展並存，但武力威脅、主權與自我防衛的條件更加明確。</x:v>
      </x:c>
    </x:row>
    <x:row r="10" ht="58" customHeight="1">
      <x:c r="A10" s="28" t="n">
        <x:v>2008</x:v>
      </x:c>
      <x:c r="B10" s="28" t="str">
        <x:v>馬英九</x:v>
      </x:c>
      <x:c r="C10" s="28" t="n">
        <x:f>COUNTIFS('逐句編碼'!$B$5:$B$108,A10)</x:f>
        <x:v>14</x:v>
      </x:c>
      <x:c r="D10" s="28" t="n">
        <x:v>2</x:v>
      </x:c>
      <x:c r="E10" s="28" t="n">
        <x:v>15</x:v>
      </x:c>
      <x:c r="F10" s="28" t="n">
        <x:v>0</x:v>
      </x:c>
      <x:c r="G10" s="28" t="n">
        <x:v>0</x:v>
      </x:c>
      <x:c r="H10" s="28" t="n">
        <x:f>COUNTIFS('逐句編碼'!$B$5:$B$108,$A10,'逐句編碼'!$G$5:$G$108,"合作")</x:f>
        <x:v>3</x:v>
      </x:c>
      <x:c r="I10" s="28" t="n">
        <x:f>COUNTIFS('逐句編碼'!$B$5:$B$108,$A10,'逐句編碼'!$G$5:$G$108,"和解")</x:f>
        <x:v>8</x:v>
      </x:c>
      <x:c r="J10" s="28" t="n">
        <x:f>COUNTIFS('逐句編碼'!$B$5:$B$108,$A10,'逐句編碼'!$G$5:$G$108,"防衛")</x:f>
        <x:v>1</x:v>
      </x:c>
      <x:c r="K10" s="28" t="n">
        <x:f>COUNTIFS('逐句編碼'!$B$5:$B$108,$A10,'逐句編碼'!$G$5:$G$108,"威脅")</x:f>
        <x:v>0</x:v>
      </x:c>
      <x:c r="L10" s="28" t="n">
        <x:f>COUNTIFS('逐句編碼'!$B$5:$B$108,$A10,'逐句編碼'!$G$5:$G$108,"中性／背景")</x:f>
        <x:v>2</x:v>
      </x:c>
      <x:c r="M10" s="29" t="str">
        <x:v>不統、不獨、不武；和解休兵</x:v>
      </x:c>
      <x:c r="N10" s="30" t="str">
        <x:v>合作與和解最突出；以協商、經貿正常化、互信與雙贏推動兩岸關係。</x:v>
      </x:c>
    </x:row>
    <x:row r="11" ht="58" customHeight="1">
      <x:c r="A11" s="28" t="n">
        <x:v>2012</x:v>
      </x:c>
      <x:c r="B11" s="28" t="str">
        <x:v>馬英九</x:v>
      </x:c>
      <x:c r="C11" s="28" t="n">
        <x:f>COUNTIFS('逐句編碼'!$B$5:$B$108,A11)</x:f>
        <x:v>18</x:v>
      </x:c>
      <x:c r="D11" s="28" t="n">
        <x:v>2</x:v>
      </x:c>
      <x:c r="E11" s="28" t="n">
        <x:v>21</x:v>
      </x:c>
      <x:c r="F11" s="28" t="n">
        <x:v>0</x:v>
      </x:c>
      <x:c r="G11" s="28" t="n">
        <x:v>0</x:v>
      </x:c>
      <x:c r="H11" s="28" t="n">
        <x:f>COUNTIFS('逐句編碼'!$B$5:$B$108,$A11,'逐句編碼'!$G$5:$G$108,"合作")</x:f>
        <x:v>7</x:v>
      </x:c>
      <x:c r="I11" s="28" t="n">
        <x:f>COUNTIFS('逐句編碼'!$B$5:$B$108,$A11,'逐句編碼'!$G$5:$G$108,"和解")</x:f>
        <x:v>5</x:v>
      </x:c>
      <x:c r="J11" s="28" t="n">
        <x:f>COUNTIFS('逐句編碼'!$B$5:$B$108,$A11,'逐句編碼'!$G$5:$G$108,"防衛")</x:f>
        <x:v>3</x:v>
      </x:c>
      <x:c r="K11" s="28" t="n">
        <x:f>COUNTIFS('逐句編碼'!$B$5:$B$108,$A11,'逐句編碼'!$G$5:$G$108,"威脅")</x:f>
        <x:v>0</x:v>
      </x:c>
      <x:c r="L11" s="28" t="n">
        <x:f>COUNTIFS('逐句編碼'!$B$5:$B$108,$A11,'逐句編碼'!$G$5:$G$108,"中性／背景")</x:f>
        <x:v>3</x:v>
      </x:c>
      <x:c r="M11" s="29" t="str">
        <x:v>九二共識；和平發展</x:v>
      </x:c>
      <x:c r="N11" s="30" t="str">
        <x:v>制度化合作達到高點；協議、交流與經貿整合並進，同時保留國防與現狀框架。</x:v>
      </x:c>
    </x:row>
    <x:row r="12" ht="58" customHeight="1">
      <x:c r="A12" s="28" t="n">
        <x:v>2016</x:v>
      </x:c>
      <x:c r="B12" s="28" t="str">
        <x:v>蔡英文</x:v>
      </x:c>
      <x:c r="C12" s="28" t="n">
        <x:f>COUNTIFS('逐句編碼'!$B$5:$B$108,A12)</x:f>
        <x:v>9</x:v>
      </x:c>
      <x:c r="D12" s="28" t="n">
        <x:v>0</x:v>
      </x:c>
      <x:c r="E12" s="28" t="n">
        <x:v>14</x:v>
      </x:c>
      <x:c r="F12" s="28" t="n">
        <x:v>1</x:v>
      </x:c>
      <x:c r="G12" s="28" t="n">
        <x:v>0</x:v>
      </x:c>
      <x:c r="H12" s="28" t="n">
        <x:f>COUNTIFS('逐句編碼'!$B$5:$B$108,$A12,'逐句編碼'!$G$5:$G$108,"合作")</x:f>
        <x:v>1</x:v>
      </x:c>
      <x:c r="I12" s="28" t="n">
        <x:f>COUNTIFS('逐句編碼'!$B$5:$B$108,$A12,'逐句編碼'!$G$5:$G$108,"和解")</x:f>
        <x:v>3</x:v>
      </x:c>
      <x:c r="J12" s="28" t="n">
        <x:f>COUNTIFS('逐句編碼'!$B$5:$B$108,$A12,'逐句編碼'!$G$5:$G$108,"防衛")</x:f>
        <x:v>3</x:v>
      </x:c>
      <x:c r="K12" s="28" t="n">
        <x:f>COUNTIFS('逐句編碼'!$B$5:$B$108,$A12,'逐句編碼'!$G$5:$G$108,"威脅")</x:f>
        <x:v>0</x:v>
      </x:c>
      <x:c r="L12" s="28" t="n">
        <x:f>COUNTIFS('逐句編碼'!$B$5:$B$108,$A12,'逐句編碼'!$G$5:$G$108,"中性／背景")</x:f>
        <x:v>2</x:v>
      </x:c>
      <x:c r="M12" s="29" t="str">
        <x:v>維持現狀；延續對話機制</x:v>
      </x:c>
      <x:c r="N12" s="30" t="str">
        <x:v>避免直接使用「中國」；以兩岸、對岸與歷史事實表述，重點是維持現狀及持續對話。</x:v>
      </x:c>
    </x:row>
    <x:row r="13" ht="58" customHeight="1">
      <x:c r="A13" s="28" t="n">
        <x:v>2020</x:v>
      </x:c>
      <x:c r="B13" s="28" t="str">
        <x:v>蔡英文</x:v>
      </x:c>
      <x:c r="C13" s="28" t="n">
        <x:f>COUNTIFS('逐句編碼'!$B$5:$B$108,A13)</x:f>
        <x:v>7</x:v>
      </x:c>
      <x:c r="D13" s="28" t="n">
        <x:v>0</x:v>
      </x:c>
      <x:c r="E13" s="28" t="n">
        <x:v>9</x:v>
      </x:c>
      <x:c r="F13" s="28" t="n">
        <x:v>2</x:v>
      </x:c>
      <x:c r="G13" s="28" t="n">
        <x:v>1</x:v>
      </x:c>
      <x:c r="H13" s="28" t="n">
        <x:f>COUNTIFS('逐句編碼'!$B$5:$B$108,$A13,'逐句編碼'!$G$5:$G$108,"合作")</x:f>
        <x:v>0</x:v>
      </x:c>
      <x:c r="I13" s="28" t="n">
        <x:f>COUNTIFS('逐句編碼'!$B$5:$B$108,$A13,'逐句編碼'!$G$5:$G$108,"和解")</x:f>
        <x:v>2</x:v>
      </x:c>
      <x:c r="J13" s="28" t="n">
        <x:f>COUNTIFS('逐句編碼'!$B$5:$B$108,$A13,'逐句編碼'!$G$5:$G$108,"防衛")</x:f>
        <x:v>4</x:v>
      </x:c>
      <x:c r="K13" s="28" t="n">
        <x:f>COUNTIFS('逐句編碼'!$B$5:$B$108,$A13,'逐句編碼'!$G$5:$G$108,"威脅")</x:f>
        <x:v>1</x:v>
      </x:c>
      <x:c r="L13" s="28" t="n">
        <x:f>COUNTIFS('逐句編碼'!$B$5:$B$108,$A13,'逐句編碼'!$G$5:$G$108,"中性／背景")</x:f>
        <x:v>0</x:v>
      </x:c>
      <x:c r="M13" s="29" t="str">
        <x:v>維持現狀；拒絕一國兩制</x:v>
      </x:c>
      <x:c r="N13" s="30" t="str">
        <x:v>國家安全與維持現狀明顯上升；拒絕一國兩制，但仍保留對話與長期相處空間。</x:v>
      </x:c>
    </x:row>
    <x:row r="14" ht="58" customHeight="1">
      <x:c r="A14" s="28" t="n">
        <x:v>2024</x:v>
      </x:c>
      <x:c r="B14" s="28" t="str">
        <x:v>賴清德</x:v>
      </x:c>
      <x:c r="C14" s="28" t="n">
        <x:f>COUNTIFS('逐句編碼'!$B$5:$B$108,A14)</x:f>
        <x:v>6</x:v>
      </x:c>
      <x:c r="D14" s="28" t="n">
        <x:v>7</x:v>
      </x:c>
      <x:c r="E14" s="28" t="n">
        <x:v>2</x:v>
      </x:c>
      <x:c r="F14" s="28" t="n">
        <x:v>0</x:v>
      </x:c>
      <x:c r="G14" s="28" t="n">
        <x:v>0</x:v>
      </x:c>
      <x:c r="H14" s="28" t="n">
        <x:f>COUNTIFS('逐句編碼'!$B$5:$B$108,$A14,'逐句編碼'!$G$5:$G$108,"合作")</x:f>
        <x:v>0</x:v>
      </x:c>
      <x:c r="I14" s="28" t="n">
        <x:f>COUNTIFS('逐句編碼'!$B$5:$B$108,$A14,'逐句編碼'!$G$5:$G$108,"和解")</x:f>
        <x:v>1</x:v>
      </x:c>
      <x:c r="J14" s="28" t="n">
        <x:f>COUNTIFS('逐句編碼'!$B$5:$B$108,$A14,'逐句編碼'!$G$5:$G$108,"防衛")</x:f>
        <x:v>1</x:v>
      </x:c>
      <x:c r="K14" s="28" t="n">
        <x:f>COUNTIFS('逐句編碼'!$B$5:$B$108,$A14,'逐句編碼'!$G$5:$G$108,"威脅")</x:f>
        <x:v>4</x:v>
      </x:c>
      <x:c r="L14" s="28" t="n">
        <x:f>COUNTIFS('逐句編碼'!$B$5:$B$108,$A14,'逐句編碼'!$G$5:$G$108,"中性／背景")</x:f>
        <x:v>0</x:v>
      </x:c>
      <x:c r="M14" s="29" t="str">
        <x:v>維持現狀；以嚇阻追求和平</x:v>
      </x:c>
      <x:c r="N14" s="30" t="str">
        <x:v>威脅與嚇阻成為主要框架；直接指稱中國的軍事、灰色脅迫與滲透，同時提出有條件的對話合作。</x:v>
      </x:c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 ht="38" customHeight="1">
      <x:c r="A16" s="34" t="str">
        <x:v>讀法：詞頻只表示談論密度，不等於立場。2016、2020 未出現完整「中國」一詞，但使用「兩岸」「對岸」「北京當局」，必須配合逐句語境判斷。</x:v>
      </x:c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</x:sheetData>
  <x:mergeCells>
    <x:mergeCell ref="A2:N2"/>
    <x:mergeCell ref="A3:N3"/>
    <x:mergeCell ref="A16:N16"/>
  </x:mergeCells>
  <x:conditionalFormatting sqref="H7:L14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10" hidden="0" customWidth="1"/>
    <x:col min="4" max="4" width="16" hidden="0" customWidth="1"/>
    <x:col min="5" max="5" width="78" hidden="0" customWidth="1"/>
    <x:col min="6" max="6" width="22" hidden="0" customWidth="1"/>
    <x:col min="7" max="7" width="13" hidden="0" customWidth="1"/>
    <x:col min="8" max="8" width="15" hidden="0" customWidth="1"/>
    <x:col min="9" max="9" width="27" hidden="0" customWidth="1"/>
    <x:col min="10" max="10" width="30" hidden="0" customWidth="1"/>
    <x:col min="11" max="11" width="18" hidden="0" customWidth="1"/>
    <x:col min="12" max="12" width="28" hidden="0" customWidth="1"/>
    <x:col min="13" max="13" width="42" hidden="0" customWidth="1"/>
  </x:cols>
  <x:sheetData>
    <x:row r="2" ht="25" customHeight="1">
      <x:c r="A2" s="1" t="str">
        <x:v>逐句語境編碼</x:v>
      </x:c>
    </x:row>
    <x:row r="3" ht="32" customHeight="1">
      <x:c r="A3" s="4" t="str">
        <x:v>每列是一個含搜尋詞的完整句子。編碼為研究用初步判讀；建議依研究問題複核「主要編碼」與「次要編碼」。</x:v>
      </x:c>
    </x:row>
    <x:row r="4" ht="30" customHeight="1">
      <x:c r="A4" s="17" t="str">
        <x:v>紀錄ID</x:v>
      </x:c>
      <x:c r="B4" s="18" t="str">
        <x:v>年份</x:v>
      </x:c>
      <x:c r="C4" s="18" t="str">
        <x:v>總統</x:v>
      </x:c>
      <x:c r="D4" s="18" t="str">
        <x:v>命中搜尋詞</x:v>
      </x:c>
      <x:c r="E4" s="18" t="str">
        <x:v>完整句子</x:v>
      </x:c>
      <x:c r="F4" s="18" t="str">
        <x:v>指涉對象</x:v>
      </x:c>
      <x:c r="G4" s="18" t="str">
        <x:v>主要編碼</x:v>
      </x:c>
      <x:c r="H4" s="18" t="str">
        <x:v>次要編碼</x:v>
      </x:c>
      <x:c r="I4" s="18" t="str">
        <x:v>判斷線索</x:v>
      </x:c>
      <x:c r="J4" s="18" t="str">
        <x:v>政策目標</x:v>
      </x:c>
      <x:c r="K4" s="18" t="str">
        <x:v>直接涉及對中態度</x:v>
      </x:c>
      <x:c r="L4" s="18" t="str">
        <x:v>複核註記</x:v>
      </x:c>
      <x:c r="M4" s="19" t="str">
        <x:v>官方來源</x:v>
      </x:c>
    </x:row>
    <x:row r="5" ht="54" customHeight="1">
      <x:c r="A5" s="41" t="str">
        <x:v>1996-01</x:v>
      </x:c>
      <x:c r="B5" s="41" t="n">
        <x:v>1996</x:v>
      </x:c>
      <x:c r="C5" s="41" t="str">
        <x:v>李登輝</x:v>
      </x:c>
      <x:c r="D5" s="41" t="str">
        <x:v>中國</x:v>
      </x:c>
      <x:c r="E5" s="42" t="str">
        <x:v>我們已經清楚地證明中國人有能力施行民主制度，運用民主政治！</x:v>
      </x:c>
      <x:c r="F5" s="43" t="str">
        <x:v>中國人／中華民族身分</x:v>
      </x:c>
      <x:c r="G5" s="43" t="str">
        <x:v>中性／背景</x:v>
      </x:c>
      <x:c r="H5" s="43" t="str"/>
      <x:c r="I5" s="43" t="str">
        <x:v>歷史、身分或政策背景</x:v>
      </x:c>
      <x:c r="J5" s="43" t="str">
        <x:v>國家統一；以談判結束敵對</x:v>
      </x:c>
      <x:c r="K5" s="43" t="str">
        <x:v>否</x:v>
      </x:c>
      <x:c r="L5" s="42" t="str">
        <x:v>已逐句初步編碼；可依研究問題調整</x:v>
      </x:c>
      <x:c r="M5" s="44" t="str">
        <x:v>https://www.president.gov.tw/NEWS/22070</x:v>
      </x:c>
    </x:row>
    <x:row r="6" ht="54" customHeight="1">
      <x:c r="A6" s="45" t="str">
        <x:v>1996-02</x:v>
      </x:c>
      <x:c r="B6" s="45" t="n">
        <x:v>1996</x:v>
      </x:c>
      <x:c r="C6" s="45" t="str">
        <x:v>李登輝</x:v>
      </x:c>
      <x:c r="D6" s="45" t="str">
        <x:v>中國</x:v>
      </x:c>
      <x:c r="E6" s="46" t="str">
        <x:v>以廣度而言，我們要與海內外所有的中國人及國際人士，分享民主經驗。</x:v>
      </x:c>
      <x:c r="F6" s="47" t="str">
        <x:v>中國人／中華民族身分</x:v>
      </x:c>
      <x:c r="G6" s="47" t="str">
        <x:v>中性／背景</x:v>
      </x:c>
      <x:c r="H6" s="47" t="str"/>
      <x:c r="I6" s="47" t="str">
        <x:v>歷史、身分或政策背景</x:v>
      </x:c>
      <x:c r="J6" s="47" t="str">
        <x:v>國家統一；以談判結束敵對</x:v>
      </x:c>
      <x:c r="K6" s="47" t="str">
        <x:v>否</x:v>
      </x:c>
      <x:c r="L6" s="46" t="str">
        <x:v>已逐句初步編碼；可依研究問題調整</x:v>
      </x:c>
      <x:c r="M6" s="48" t="str">
        <x:v>https://www.president.gov.tw/NEWS/22070</x:v>
      </x:c>
    </x:row>
    <x:row r="7" ht="54" customHeight="1">
      <x:c r="A7" s="45" t="str">
        <x:v>1996-03</x:v>
      </x:c>
      <x:c r="B7" s="45" t="n">
        <x:v>1996</x:v>
      </x:c>
      <x:c r="C7" s="45" t="str">
        <x:v>李登輝</x:v>
      </x:c>
      <x:c r="D7" s="45" t="str">
        <x:v>中國</x:v>
      </x:c>
      <x:c r="E7" s="46" t="str">
        <x:v>再加上台灣的教育水準與發展程度，遠超越中國其他地區，勢必逐漸發揮文化主導功能，進而擔負起文化「新中原」的重任。</x:v>
      </x:c>
      <x:c r="F7" s="47" t="str">
        <x:v>中國／中華人民共和國</x:v>
      </x:c>
      <x:c r="G7" s="47" t="str">
        <x:v>中性／背景</x:v>
      </x:c>
      <x:c r="H7" s="47" t="str"/>
      <x:c r="I7" s="47" t="str">
        <x:v>歷史、身分或政策背景</x:v>
      </x:c>
      <x:c r="J7" s="47" t="str">
        <x:v>國家統一；以談判結束敵對</x:v>
      </x:c>
      <x:c r="K7" s="47" t="str">
        <x:v>部分</x:v>
      </x:c>
      <x:c r="L7" s="46" t="str">
        <x:v>已逐句初步編碼；可依研究問題調整</x:v>
      </x:c>
      <x:c r="M7" s="48" t="str">
        <x:v>https://www.president.gov.tw/NEWS/22070</x:v>
      </x:c>
    </x:row>
    <x:row r="8" ht="54" customHeight="1">
      <x:c r="A8" s="45" t="str">
        <x:v>1996-04</x:v>
      </x:c>
      <x:c r="B8" s="45" t="n">
        <x:v>1996</x:v>
      </x:c>
      <x:c r="C8" s="45" t="str">
        <x:v>李登輝</x:v>
      </x:c>
      <x:c r="D8" s="45" t="str">
        <x:v>中國</x:v>
      </x:c>
      <x:c r="E8" s="46" t="str">
        <x:v>當然，我們全心全力在臺灣建設中華民國的同時，也不會忘記海外的中國人。</x:v>
      </x:c>
      <x:c r="F8" s="47" t="str">
        <x:v>中國人／中華民族身分</x:v>
      </x:c>
      <x:c r="G8" s="47" t="str">
        <x:v>中性／背景</x:v>
      </x:c>
      <x:c r="H8" s="47" t="str"/>
      <x:c r="I8" s="47" t="str">
        <x:v>歷史、身分或政策背景</x:v>
      </x:c>
      <x:c r="J8" s="47" t="str">
        <x:v>國家統一；以談判結束敵對</x:v>
      </x:c>
      <x:c r="K8" s="47" t="str">
        <x:v>否</x:v>
      </x:c>
      <x:c r="L8" s="46" t="str">
        <x:v>已逐句初步編碼；可依研究問題調整</x:v>
      </x:c>
      <x:c r="M8" s="48" t="str">
        <x:v>https://www.president.gov.tw/NEWS/22070</x:v>
      </x:c>
    </x:row>
    <x:row r="9" ht="54" customHeight="1">
      <x:c r="A9" s="45" t="str">
        <x:v>1996-05</x:v>
      </x:c>
      <x:c r="B9" s="45" t="n">
        <x:v>1996</x:v>
      </x:c>
      <x:c r="C9" s="45" t="str">
        <x:v>李登輝</x:v>
      </x:c>
      <x:c r="D9" s="45" t="str">
        <x:v>中國</x:v>
      </x:c>
      <x:c r="E9" s="46" t="str">
        <x:v>各位親愛的父老兄弟姊妹：二十世紀的中國，是一個苦難的國家。</x:v>
      </x:c>
      <x:c r="F9" s="47" t="str">
        <x:v>中國／中華人民共和國</x:v>
      </x:c>
      <x:c r="G9" s="47" t="str">
        <x:v>中性／背景</x:v>
      </x:c>
      <x:c r="H9" s="47" t="str"/>
      <x:c r="I9" s="47" t="str">
        <x:v>歷史、身分或政策背景</x:v>
      </x:c>
      <x:c r="J9" s="47" t="str">
        <x:v>國家統一；以談判結束敵對</x:v>
      </x:c>
      <x:c r="K9" s="47" t="str">
        <x:v>部分</x:v>
      </x:c>
      <x:c r="L9" s="46" t="str">
        <x:v>已逐句初步編碼；可依研究問題調整</x:v>
      </x:c>
      <x:c r="M9" s="48" t="str">
        <x:v>https://www.president.gov.tw/NEWS/22070</x:v>
      </x:c>
    </x:row>
    <x:row r="10" ht="54" customHeight="1">
      <x:c r="A10" s="45" t="str">
        <x:v>1996-06</x:v>
      </x:c>
      <x:c r="B10" s="45" t="n">
        <x:v>1996</x:v>
      </x:c>
      <x:c r="C10" s="45" t="str">
        <x:v>李登輝</x:v>
      </x:c>
      <x:c r="D10" s="45" t="str">
        <x:v>中國</x:v>
      </x:c>
      <x:c r="E10" s="46" t="str">
        <x:v>先是外患不斷，而後，五十年來，又因意識形態的不同，造成「中國人打中國人」的悲劇，積累了同胞手足間的對立與仇恨。</x:v>
      </x:c>
      <x:c r="F10" s="47" t="str">
        <x:v>中國人／中華民族身分</x:v>
      </x:c>
      <x:c r="G10" s="47" t="str">
        <x:v>中性／背景</x:v>
      </x:c>
      <x:c r="H10" s="47" t="str"/>
      <x:c r="I10" s="47" t="str">
        <x:v>歷史、身分或政策背景</x:v>
      </x:c>
      <x:c r="J10" s="47" t="str">
        <x:v>國家統一；以談判結束敵對</x:v>
      </x:c>
      <x:c r="K10" s="47" t="str">
        <x:v>否</x:v>
      </x:c>
      <x:c r="L10" s="46" t="str">
        <x:v>已逐句初步編碼；可依研究問題調整</x:v>
      </x:c>
      <x:c r="M10" s="48" t="str">
        <x:v>https://www.president.gov.tw/NEWS/22070</x:v>
      </x:c>
    </x:row>
    <x:row r="11" ht="54" customHeight="1">
      <x:c r="A11" s="45" t="str">
        <x:v>1996-07</x:v>
      </x:c>
      <x:c r="B11" s="45" t="n">
        <x:v>1996</x:v>
      </x:c>
      <x:c r="C11" s="45" t="str">
        <x:v>李登輝</x:v>
      </x:c>
      <x:c r="D11" s="45" t="str">
        <x:v>中國</x:v>
      </x:c>
      <x:c r="E11" s="46" t="str">
        <x:v>登輝一向主張，在邁進二十一世紀的前夕，海峽雙方都應致力結束歷史的悲劇，開創「中國人幫中國人」的新局。</x:v>
      </x:c>
      <x:c r="F11" s="47" t="str">
        <x:v>中國人／中華民族身分</x:v>
      </x:c>
      <x:c r="G11" s="47" t="str">
        <x:v>和解</x:v>
      </x:c>
      <x:c r="H11" s="47" t="str">
        <x:v>合作</x:v>
      </x:c>
      <x:c r="I11" s="47" t="str">
        <x:v>歷史、身分或政策背景</x:v>
      </x:c>
      <x:c r="J11" s="47" t="str">
        <x:v>國家統一；以談判結束敵對</x:v>
      </x:c>
      <x:c r="K11" s="47" t="str">
        <x:v>是</x:v>
      </x:c>
      <x:c r="L11" s="46" t="str">
        <x:v>已逐句初步編碼；可依研究問題調整</x:v>
      </x:c>
      <x:c r="M11" s="48" t="str">
        <x:v>https://www.president.gov.tw/NEWS/22070</x:v>
      </x:c>
    </x:row>
    <x:row r="12" ht="54" customHeight="1">
      <x:c r="A12" s="45" t="str">
        <x:v>1996-08</x:v>
      </x:c>
      <x:c r="B12" s="45" t="n">
        <x:v>1996</x:v>
      </x:c>
      <x:c r="C12" s="45" t="str">
        <x:v>李登輝</x:v>
      </x:c>
      <x:c r="D12" s="45" t="str">
        <x:v>兩岸</x:v>
      </x:c>
      <x:c r="E12" s="46" t="str">
        <x:v>因此，六年來，在確保臺澎金馬安全與維護全民福祉的前提下，我們無時不以積極主動的作為，務實雙贏的思考，發展兩岸關係，推進國家統一大業。</x:v>
      </x:c>
      <x:c r="F12" s="47" t="str">
        <x:v>兩岸關係</x:v>
      </x:c>
      <x:c r="G12" s="47" t="str">
        <x:v>合作</x:v>
      </x:c>
      <x:c r="H12" s="47" t="str">
        <x:v>防衛</x:v>
      </x:c>
      <x:c r="I12" s="47" t="str">
        <x:v>雙贏、安全</x:v>
      </x:c>
      <x:c r="J12" s="47" t="str">
        <x:v>國家統一；以談判結束敵對</x:v>
      </x:c>
      <x:c r="K12" s="47" t="str">
        <x:v>是</x:v>
      </x:c>
      <x:c r="L12" s="46" t="str">
        <x:v>已逐句初步編碼；可依研究問題調整</x:v>
      </x:c>
      <x:c r="M12" s="48" t="str">
        <x:v>https://www.president.gov.tw/NEWS/22070</x:v>
      </x:c>
    </x:row>
    <x:row r="13" ht="54" customHeight="1">
      <x:c r="A13" s="45" t="str">
        <x:v>1996-09</x:v>
      </x:c>
      <x:c r="B13" s="45" t="n">
        <x:v>1996</x:v>
      </x:c>
      <x:c r="C13" s="45" t="str">
        <x:v>李登輝</x:v>
      </x:c>
      <x:c r="D13" s="45" t="str">
        <x:v>兩岸</x:v>
      </x:c>
      <x:c r="E13" s="46" t="str">
        <x:v>但是，由於中共始終無視於中華民國在臺澎金馬地區存在的事實，致使海峽兩岸關係的發展，時生波折。</x:v>
      </x:c>
      <x:c r="F13" s="47" t="str">
        <x:v>兩岸關係</x:v>
      </x:c>
      <x:c r="G13" s="47" t="str">
        <x:v>威脅</x:v>
      </x:c>
      <x:c r="H13" s="47" t="str">
        <x:v>防衛</x:v>
      </x:c>
      <x:c r="I13" s="47" t="str">
        <x:v>無視</x:v>
      </x:c>
      <x:c r="J13" s="47" t="str">
        <x:v>國家統一；以談判結束敵對</x:v>
      </x:c>
      <x:c r="K13" s="47" t="str">
        <x:v>是</x:v>
      </x:c>
      <x:c r="L13" s="46" t="str">
        <x:v>已逐句初步編碼；可依研究問題調整</x:v>
      </x:c>
      <x:c r="M13" s="48" t="str">
        <x:v>https://www.president.gov.tw/NEWS/22070</x:v>
      </x:c>
    </x:row>
    <x:row r="14" ht="54" customHeight="1">
      <x:c r="A14" s="45" t="str">
        <x:v>1996-10</x:v>
      </x:c>
      <x:c r="B14" s="45" t="n">
        <x:v>1996</x:v>
      </x:c>
      <x:c r="C14" s="45" t="str">
        <x:v>李登輝</x:v>
      </x:c>
      <x:c r="D14" s="45" t="str">
        <x:v>中國</x:v>
      </x:c>
      <x:c r="E14" s="46" t="str">
        <x:v>因為我們知道必須維持亞太地區的和平安定，更重要的是，我們不願意看到中國大陸改革開放後，好不容易建立起來的經濟成果，前功盡棄。</x:v>
      </x:c>
      <x:c r="F14" s="47" t="str">
        <x:v>中國大陸</x:v>
      </x:c>
      <x:c r="G14" s="47" t="str">
        <x:v>中性／背景</x:v>
      </x:c>
      <x:c r="H14" s="47" t="str"/>
      <x:c r="I14" s="47" t="str">
        <x:v>歷史、身分或政策背景</x:v>
      </x:c>
      <x:c r="J14" s="47" t="str">
        <x:v>國家統一；以談判結束敵對</x:v>
      </x:c>
      <x:c r="K14" s="47" t="str">
        <x:v>部分</x:v>
      </x:c>
      <x:c r="L14" s="46" t="str">
        <x:v>已逐句初步編碼；可依研究問題調整</x:v>
      </x:c>
      <x:c r="M14" s="48" t="str">
        <x:v>https://www.president.gov.tw/NEWS/22070</x:v>
      </x:c>
    </x:row>
    <x:row r="15" ht="54" customHeight="1">
      <x:c r="A15" s="45" t="str">
        <x:v>1996-11</x:v>
      </x:c>
      <x:c r="B15" s="45" t="n">
        <x:v>1996</x:v>
      </x:c>
      <x:c r="C15" s="45" t="str">
        <x:v>李登輝</x:v>
      </x:c>
      <x:c r="D15" s="45" t="str">
        <x:v>兩岸</x:v>
      </x:c>
      <x:c r="E15" s="46" t="str">
        <x:v>我們主張，只有透過對談溝通，才能真正解決海峽兩岸的問題。</x:v>
      </x:c>
      <x:c r="F15" s="47" t="str">
        <x:v>兩岸關係</x:v>
      </x:c>
      <x:c r="G15" s="47" t="str">
        <x:v>和解</x:v>
      </x:c>
      <x:c r="H15" s="47" t="str"/>
      <x:c r="I15" s="47" t="str">
        <x:v>溝通</x:v>
      </x:c>
      <x:c r="J15" s="47" t="str">
        <x:v>國家統一；以談判結束敵對</x:v>
      </x:c>
      <x:c r="K15" s="47" t="str">
        <x:v>是</x:v>
      </x:c>
      <x:c r="L15" s="46" t="str">
        <x:v>已逐句初步編碼；可依研究問題調整</x:v>
      </x:c>
      <x:c r="M15" s="48" t="str">
        <x:v>https://www.president.gov.tw/NEWS/22070</x:v>
      </x:c>
    </x:row>
    <x:row r="16" ht="54" customHeight="1">
      <x:c r="A16" s="45" t="str">
        <x:v>1996-12</x:v>
      </x:c>
      <x:c r="B16" s="45" t="n">
        <x:v>1996</x:v>
      </x:c>
      <x:c r="C16" s="45" t="str">
        <x:v>李登輝</x:v>
      </x:c>
      <x:c r="D16" s="45" t="str">
        <x:v>兩岸</x:v>
      </x:c>
      <x:c r="E16" s="46" t="str">
        <x:v>海峽兩岸沒有民族與文化認同問題，有的只是制度與生活方式之爭。</x:v>
      </x:c>
      <x:c r="F16" s="47" t="str">
        <x:v>兩岸關係</x:v>
      </x:c>
      <x:c r="G16" s="47" t="str">
        <x:v>中性／背景</x:v>
      </x:c>
      <x:c r="H16" s="47" t="str"/>
      <x:c r="I16" s="47" t="str">
        <x:v>歷史、身分或政策背景</x:v>
      </x:c>
      <x:c r="J16" s="47" t="str">
        <x:v>國家統一；以談判結束敵對</x:v>
      </x:c>
      <x:c r="K16" s="47" t="str">
        <x:v>部分</x:v>
      </x:c>
      <x:c r="L16" s="46" t="str">
        <x:v>已逐句初步編碼；可依研究問題調整</x:v>
      </x:c>
      <x:c r="M16" s="48" t="str">
        <x:v>https://www.president.gov.tw/NEWS/22070</x:v>
      </x:c>
    </x:row>
    <x:row r="17" ht="54" customHeight="1">
      <x:c r="A17" s="45" t="str">
        <x:v>1996-13</x:v>
      </x:c>
      <x:c r="B17" s="45" t="n">
        <x:v>1996</x:v>
      </x:c>
      <x:c r="C17" s="45" t="str">
        <x:v>李登輝</x:v>
      </x:c>
      <x:c r="D17" s="45" t="str">
        <x:v>兩岸</x:v>
      </x:c>
      <x:c r="E17" s="46" t="str">
        <x:v>四十多年來，海峽兩岸因為歷史因素，而隔海分治，乃是事實；但是海峽雙方都以追求國家統一為目標，也是事實。</x:v>
      </x:c>
      <x:c r="F17" s="47" t="str">
        <x:v>兩岸關係</x:v>
      </x:c>
      <x:c r="G17" s="47" t="str">
        <x:v>中性／背景</x:v>
      </x:c>
      <x:c r="H17" s="47" t="str"/>
      <x:c r="I17" s="47" t="str">
        <x:v>歷史、身分或政策背景</x:v>
      </x:c>
      <x:c r="J17" s="47" t="str">
        <x:v>國家統一；以談判結束敵對</x:v>
      </x:c>
      <x:c r="K17" s="47" t="str">
        <x:v>部分</x:v>
      </x:c>
      <x:c r="L17" s="46" t="str">
        <x:v>已逐句初步編碼；可依研究問題調整</x:v>
      </x:c>
      <x:c r="M17" s="48" t="str">
        <x:v>https://www.president.gov.tw/NEWS/22070</x:v>
      </x:c>
    </x:row>
    <x:row r="18" ht="54" customHeight="1">
      <x:c r="A18" s="45" t="str">
        <x:v>1996-14</x:v>
      </x:c>
      <x:c r="B18" s="45" t="n">
        <x:v>1996</x:v>
      </x:c>
      <x:c r="C18" s="45" t="str">
        <x:v>李登輝</x:v>
      </x:c>
      <x:c r="D18" s="45" t="str">
        <x:v>兩岸</x:v>
      </x:c>
      <x:c r="E18" s="46" t="str">
        <x:v>兩岸唯有面對這些事實，以最大的誠意與耐心，進行對談溝通，化異求同，才能真正解決國家統一的問題，謀求中華民族的共同福祉。</x:v>
      </x:c>
      <x:c r="F18" s="47" t="str">
        <x:v>兩岸關係</x:v>
      </x:c>
      <x:c r="G18" s="47" t="str">
        <x:v>和解</x:v>
      </x:c>
      <x:c r="H18" s="47" t="str">
        <x:v>合作</x:v>
      </x:c>
      <x:c r="I18" s="47" t="str">
        <x:v>溝通、誠意</x:v>
      </x:c>
      <x:c r="J18" s="47" t="str">
        <x:v>國家統一；以談判結束敵對</x:v>
      </x:c>
      <x:c r="K18" s="47" t="str">
        <x:v>是</x:v>
      </x:c>
      <x:c r="L18" s="46" t="str">
        <x:v>已逐句初步編碼；可依研究問題調整</x:v>
      </x:c>
      <x:c r="M18" s="48" t="str">
        <x:v>https://www.president.gov.tw/NEWS/22070</x:v>
      </x:c>
    </x:row>
    <x:row r="19" ht="54" customHeight="1">
      <x:c r="A19" s="45" t="str">
        <x:v>1996-15</x:v>
      </x:c>
      <x:c r="B19" s="45" t="n">
        <x:v>1996</x:v>
      </x:c>
      <x:c r="C19" s="45" t="str">
        <x:v>李登輝</x:v>
      </x:c>
      <x:c r="D19" s="45" t="str">
        <x:v>兩岸</x:v>
      </x:c>
      <x:c r="E19" s="46" t="str">
        <x:v>今天，登輝要鄭重呼籲：海峽兩岸，都應該正視處理結束敵對狀態這項重大問題，以便為追求國家統一的歷史大業，作出關鍵性的貢獻。</x:v>
      </x:c>
      <x:c r="F19" s="47" t="str">
        <x:v>兩岸關係</x:v>
      </x:c>
      <x:c r="G19" s="47" t="str">
        <x:v>和解</x:v>
      </x:c>
      <x:c r="H19" s="47" t="str"/>
      <x:c r="I19" s="47" t="str">
        <x:v>結束敵對</x:v>
      </x:c>
      <x:c r="J19" s="47" t="str">
        <x:v>國家統一；以談判結束敵對</x:v>
      </x:c>
      <x:c r="K19" s="47" t="str">
        <x:v>是</x:v>
      </x:c>
      <x:c r="L19" s="46" t="str">
        <x:v>已逐句初步編碼；可依研究問題調整</x:v>
      </x:c>
      <x:c r="M19" s="48" t="str">
        <x:v>https://www.president.gov.tw/NEWS/22070</x:v>
      </x:c>
    </x:row>
    <x:row r="20" ht="54" customHeight="1">
      <x:c r="A20" s="45" t="str">
        <x:v>1996-16</x:v>
      </x:c>
      <x:c r="B20" s="45" t="n">
        <x:v>1996</x:v>
      </x:c>
      <x:c r="C20" s="45" t="str">
        <x:v>李登輝</x:v>
      </x:c>
      <x:c r="D20" s="45" t="str">
        <x:v>中國</x:v>
      </x:c>
      <x:c r="E20" s="46" t="str">
        <x:v>在未來，只要國家需要，人民支持，登輝願意帶著兩千一百三十萬同胞的共識與意志，訪問中國大陸，從事和平之旅。</x:v>
      </x:c>
      <x:c r="F20" s="47" t="str">
        <x:v>中國大陸</x:v>
      </x:c>
      <x:c r="G20" s="47" t="str">
        <x:v>和解</x:v>
      </x:c>
      <x:c r="H20" s="47" t="str"/>
      <x:c r="I20" s="47" t="str">
        <x:v>和平</x:v>
      </x:c>
      <x:c r="J20" s="47" t="str">
        <x:v>國家統一；以談判結束敵對</x:v>
      </x:c>
      <x:c r="K20" s="47" t="str">
        <x:v>是</x:v>
      </x:c>
      <x:c r="L20" s="46" t="str">
        <x:v>已逐句初步編碼；可依研究問題調整</x:v>
      </x:c>
      <x:c r="M20" s="48" t="str">
        <x:v>https://www.president.gov.tw/NEWS/22070</x:v>
      </x:c>
    </x:row>
    <x:row r="21" ht="54" customHeight="1">
      <x:c r="A21" s="45" t="str">
        <x:v>1996-17</x:v>
      </x:c>
      <x:c r="B21" s="45" t="n">
        <x:v>1996</x:v>
      </x:c>
      <x:c r="C21" s="45" t="str">
        <x:v>李登輝</x:v>
      </x:c>
      <x:c r="D21" s="45" t="str">
        <x:v>兩岸</x:v>
      </x:c>
      <x:c r="E21" s="46" t="str">
        <x:v>同時，為了打開海峽兩岸溝通、合作的新紀元，為了確保亞太地區的和平、安定、繁榮，登輝也願意與中共最高領導當局見面，直接交換意見。</x:v>
      </x:c>
      <x:c r="F21" s="47" t="str">
        <x:v>兩岸關係</x:v>
      </x:c>
      <x:c r="G21" s="47" t="str">
        <x:v>和解</x:v>
      </x:c>
      <x:c r="H21" s="47" t="str">
        <x:v>合作</x:v>
      </x:c>
      <x:c r="I21" s="47" t="str">
        <x:v>和平、溝通、合作</x:v>
      </x:c>
      <x:c r="J21" s="47" t="str">
        <x:v>國家統一；以談判結束敵對</x:v>
      </x:c>
      <x:c r="K21" s="47" t="str">
        <x:v>是</x:v>
      </x:c>
      <x:c r="L21" s="46" t="str">
        <x:v>已逐句初步編碼；可依研究問題調整</x:v>
      </x:c>
      <x:c r="M21" s="48" t="str">
        <x:v>https://www.president.gov.tw/NEWS/22070</x:v>
      </x:c>
    </x:row>
    <x:row r="22" ht="54" customHeight="1">
      <x:c r="A22" s="45" t="str">
        <x:v>1996-18</x:v>
      </x:c>
      <x:c r="B22" s="45" t="n">
        <x:v>1996</x:v>
      </x:c>
      <x:c r="C22" s="45" t="str">
        <x:v>李登輝</x:v>
      </x:c>
      <x:c r="D22" s="45" t="str">
        <x:v>中國</x:v>
      </x:c>
      <x:c r="E22" s="46" t="str">
        <x:v>全國同胞們：今天我們在台灣實現了中國人的夢想！</x:v>
      </x:c>
      <x:c r="F22" s="47" t="str">
        <x:v>中國人／中華民族身分</x:v>
      </x:c>
      <x:c r="G22" s="47" t="str">
        <x:v>中性／背景</x:v>
      </x:c>
      <x:c r="H22" s="47" t="str"/>
      <x:c r="I22" s="47" t="str">
        <x:v>歷史、身分或政策背景</x:v>
      </x:c>
      <x:c r="J22" s="47" t="str">
        <x:v>國家統一；以談判結束敵對</x:v>
      </x:c>
      <x:c r="K22" s="47" t="str">
        <x:v>否</x:v>
      </x:c>
      <x:c r="L22" s="46" t="str">
        <x:v>已逐句初步編碼；可依研究問題調整</x:v>
      </x:c>
      <x:c r="M22" s="48" t="str">
        <x:v>https://www.president.gov.tw/NEWS/22070</x:v>
      </x:c>
    </x:row>
    <x:row r="23" ht="54" customHeight="1">
      <x:c r="A23" s="45" t="str">
        <x:v>1996-19</x:v>
      </x:c>
      <x:c r="B23" s="45" t="n">
        <x:v>1996</x:v>
      </x:c>
      <x:c r="C23" s="45" t="str">
        <x:v>李登輝</x:v>
      </x:c>
      <x:c r="D23" s="45" t="str">
        <x:v>中國</x:v>
      </x:c>
      <x:c r="E23" s="46" t="str">
        <x:v>二十世紀的中國人，奮力追求的是，建設富強康樂的新中國，與實踐中山先生「主權在民」的理想。</x:v>
      </x:c>
      <x:c r="F23" s="47" t="str">
        <x:v>中國人／中華民族身分</x:v>
      </x:c>
      <x:c r="G23" s="47" t="str">
        <x:v>中性／背景</x:v>
      </x:c>
      <x:c r="H23" s="47" t="str"/>
      <x:c r="I23" s="47" t="str">
        <x:v>歷史、身分或政策背景</x:v>
      </x:c>
      <x:c r="J23" s="47" t="str">
        <x:v>國家統一；以談判結束敵對</x:v>
      </x:c>
      <x:c r="K23" s="47" t="str">
        <x:v>否</x:v>
      </x:c>
      <x:c r="L23" s="46" t="str">
        <x:v>已逐句初步編碼；可依研究問題調整</x:v>
      </x:c>
      <x:c r="M23" s="48" t="str">
        <x:v>https://www.president.gov.tw/NEWS/22070</x:v>
      </x:c>
    </x:row>
    <x:row r="24" ht="54" customHeight="1">
      <x:c r="A24" s="45" t="str">
        <x:v>1996-20</x:v>
      </x:c>
      <x:c r="B24" s="45" t="n">
        <x:v>1996</x:v>
      </x:c>
      <x:c r="C24" s="45" t="str">
        <x:v>李登輝</x:v>
      </x:c>
      <x:c r="D24" s="45" t="str">
        <x:v>中國</x:v>
      </x:c>
      <x:c r="E24" s="46" t="str">
        <x:v>百年以前，在跨入二十世紀之初，曾被西方國家認定為專制、封建、貧窮、落後的中國人，已經在台澎金馬地區開創了民主、富足、進步的新局，傲然面對世人的讚譽。</x:v>
      </x:c>
      <x:c r="F24" s="47" t="str">
        <x:v>中國人／中華民族身分</x:v>
      </x:c>
      <x:c r="G24" s="47" t="str">
        <x:v>中性／背景</x:v>
      </x:c>
      <x:c r="H24" s="47" t="str"/>
      <x:c r="I24" s="47" t="str">
        <x:v>歷史、身分或政策背景</x:v>
      </x:c>
      <x:c r="J24" s="47" t="str">
        <x:v>國家統一；以談判結束敵對</x:v>
      </x:c>
      <x:c r="K24" s="47" t="str">
        <x:v>否</x:v>
      </x:c>
      <x:c r="L24" s="46" t="str">
        <x:v>已逐句初步編碼；可依研究問題調整</x:v>
      </x:c>
      <x:c r="M24" s="48" t="str">
        <x:v>https://www.president.gov.tw/NEWS/22070</x:v>
      </x:c>
    </x:row>
    <x:row r="25" ht="54" customHeight="1">
      <x:c r="A25" s="45" t="str">
        <x:v>1996-21</x:v>
      </x:c>
      <x:c r="B25" s="45" t="n">
        <x:v>1996</x:v>
      </x:c>
      <x:c r="C25" s="45" t="str">
        <x:v>李登輝</x:v>
      </x:c>
      <x:c r="D25" s="45" t="str">
        <x:v>中國</x:v>
      </x:c>
      <x:c r="E25" s="46" t="str">
        <x:v>我們相信，同樣是中華民族的一份子，在臺灣做得到的，在中國大陸也可以做到。</x:v>
      </x:c>
      <x:c r="F25" s="47" t="str">
        <x:v>中國大陸</x:v>
      </x:c>
      <x:c r="G25" s="47" t="str">
        <x:v>合作</x:v>
      </x:c>
      <x:c r="H25" s="47" t="str">
        <x:v>和解</x:v>
      </x:c>
      <x:c r="I25" s="47" t="str">
        <x:v>歷史、身分或政策背景</x:v>
      </x:c>
      <x:c r="J25" s="47" t="str">
        <x:v>國家統一；以談判結束敵對</x:v>
      </x:c>
      <x:c r="K25" s="47" t="str">
        <x:v>是</x:v>
      </x:c>
      <x:c r="L25" s="46" t="str">
        <x:v>已逐句初步編碼；可依研究問題調整</x:v>
      </x:c>
      <x:c r="M25" s="48" t="str">
        <x:v>https://www.president.gov.tw/NEWS/22070</x:v>
      </x:c>
    </x:row>
    <x:row r="26" ht="54" customHeight="1">
      <x:c r="A26" s="45" t="str">
        <x:v>1996-22</x:v>
      </x:c>
      <x:c r="B26" s="45" t="n">
        <x:v>1996</x:v>
      </x:c>
      <x:c r="C26" s="45" t="str">
        <x:v>李登輝</x:v>
      </x:c>
      <x:c r="D26" s="45" t="str">
        <x:v>中國、兩岸</x:v>
      </x:c>
      <x:c r="E26" s="46" t="str">
        <x:v>因此，我們願意以建設的經驗，導引中國大陸發展的方向，以進步的成果，協助億萬同胞改善生活福祉，進而集合兩岸中國人之力，共謀中華民族的繁榮與發展！</x:v>
      </x:c>
      <x:c r="F26" s="47" t="str">
        <x:v>中國大陸</x:v>
      </x:c>
      <x:c r="G26" s="47" t="str">
        <x:v>合作</x:v>
      </x:c>
      <x:c r="H26" s="47" t="str">
        <x:v>和解</x:v>
      </x:c>
      <x:c r="I26" s="47" t="str">
        <x:v>共謀</x:v>
      </x:c>
      <x:c r="J26" s="47" t="str">
        <x:v>國家統一；以談判結束敵對</x:v>
      </x:c>
      <x:c r="K26" s="47" t="str">
        <x:v>是</x:v>
      </x:c>
      <x:c r="L26" s="46" t="str">
        <x:v>已逐句初步編碼；可依研究問題調整</x:v>
      </x:c>
      <x:c r="M26" s="48" t="str">
        <x:v>https://www.president.gov.tw/NEWS/22070</x:v>
      </x:c>
    </x:row>
    <x:row r="27" ht="54" customHeight="1">
      <x:c r="A27" s="45" t="str">
        <x:v>1996-23</x:v>
      </x:c>
      <x:c r="B27" s="45" t="n">
        <x:v>1996</x:v>
      </x:c>
      <x:c r="C27" s="45" t="str">
        <x:v>李登輝</x:v>
      </x:c>
      <x:c r="D27" s="45" t="str">
        <x:v>中國</x:v>
      </x:c>
      <x:c r="E27" s="46" t="str">
        <x:v>登輝深信，在二十一世紀，中國人必能完成和平統一的歷史大業，為世界和平與發展，善盡更大的心力！</x:v>
      </x:c>
      <x:c r="F27" s="47" t="str">
        <x:v>中國人／中華民族身分</x:v>
      </x:c>
      <x:c r="G27" s="47" t="str">
        <x:v>和解</x:v>
      </x:c>
      <x:c r="H27" s="47" t="str">
        <x:v>合作</x:v>
      </x:c>
      <x:c r="I27" s="47" t="str">
        <x:v>和平</x:v>
      </x:c>
      <x:c r="J27" s="47" t="str">
        <x:v>國家統一；以談判結束敵對</x:v>
      </x:c>
      <x:c r="K27" s="47" t="str">
        <x:v>是</x:v>
      </x:c>
      <x:c r="L27" s="46" t="str">
        <x:v>已逐句初步編碼；可依研究問題調整</x:v>
      </x:c>
      <x:c r="M27" s="48" t="str">
        <x:v>https://www.president.gov.tw/NEWS/22070</x:v>
      </x:c>
    </x:row>
    <x:row r="28" ht="54" customHeight="1">
      <x:c r="A28" s="45" t="str">
        <x:v>2000-01</x:v>
      </x:c>
      <x:c r="B28" s="45" t="n">
        <x:v>2000</x:v>
      </x:c>
      <x:c r="C28" s="45" t="str">
        <x:v>陳水扁</x:v>
      </x:c>
      <x:c r="D28" s="45" t="str">
        <x:v>中國</x:v>
      </x:c>
      <x:c r="E28" s="46" t="str">
        <x:v>過去一百多年來，中國曾經遭受帝國主義的侵略，留下難以抹滅的歷史傷痕。</x:v>
      </x:c>
      <x:c r="F28" s="47" t="str">
        <x:v>中國／中華人民共和國</x:v>
      </x:c>
      <x:c r="G28" s="47" t="str">
        <x:v>中性／背景</x:v>
      </x:c>
      <x:c r="H28" s="47" t="str"/>
      <x:c r="I28" s="47" t="str">
        <x:v>歷史、身分或政策背景</x:v>
      </x:c>
      <x:c r="J28" s="47" t="str">
        <x:v>維持現狀；善意和解</x:v>
      </x:c>
      <x:c r="K28" s="47" t="str">
        <x:v>部分</x:v>
      </x:c>
      <x:c r="L28" s="46" t="str">
        <x:v>已逐句初步編碼；可依研究問題調整</x:v>
      </x:c>
      <x:c r="M28" s="48" t="str">
        <x:v>https://www.president.gov.tw/NEWS/6742</x:v>
      </x:c>
    </x:row>
    <x:row r="29" ht="54" customHeight="1">
      <x:c r="A29" s="45" t="str">
        <x:v>2000-02</x:v>
      </x:c>
      <x:c r="B29" s="45" t="n">
        <x:v>2000</x:v>
      </x:c>
      <x:c r="C29" s="45" t="str">
        <x:v>陳水扁</x:v>
      </x:c>
      <x:c r="D29" s="45" t="str">
        <x:v>兩岸</x:v>
      </x:c>
      <x:c r="E29" s="46" t="str">
        <x:v>如此相同的歷史遭遇，理應為兩岸人民之間的相互諒解，為共同追求自由、民主、人權的決心，奠下厚實的基礎。</x:v>
      </x:c>
      <x:c r="F29" s="47" t="str">
        <x:v>兩岸關係</x:v>
      </x:c>
      <x:c r="G29" s="47" t="str">
        <x:v>和解</x:v>
      </x:c>
      <x:c r="H29" s="47" t="str"/>
      <x:c r="I29" s="47" t="str">
        <x:v>相互諒解</x:v>
      </x:c>
      <x:c r="J29" s="47" t="str">
        <x:v>維持現狀；善意和解</x:v>
      </x:c>
      <x:c r="K29" s="47" t="str">
        <x:v>是</x:v>
      </x:c>
      <x:c r="L29" s="46" t="str">
        <x:v>已逐句初步編碼；可依研究問題調整</x:v>
      </x:c>
      <x:c r="M29" s="48" t="str">
        <x:v>https://www.president.gov.tw/NEWS/6742</x:v>
      </x:c>
    </x:row>
    <x:row r="30" ht="54" customHeight="1">
      <x:c r="A30" s="45" t="str">
        <x:v>2000-03</x:v>
      </x:c>
      <x:c r="B30" s="45" t="n">
        <x:v>2000</x:v>
      </x:c>
      <x:c r="C30" s="45" t="str">
        <x:v>陳水扁</x:v>
      </x:c>
      <x:c r="D30" s="45" t="str">
        <x:v>兩岸</x:v>
      </x:c>
      <x:c r="E30" s="46" t="str">
        <x:v>然而，因為長期的隔離，使得雙方發展出截然不同的政治制度和生活方式，從此阻斷了兩岸人民以同理心互相對待的情誼，甚至因為隔離而造成了對立的圍牆。</x:v>
      </x:c>
      <x:c r="F30" s="47" t="str">
        <x:v>兩岸關係</x:v>
      </x:c>
      <x:c r="G30" s="47" t="str">
        <x:v>中性／背景</x:v>
      </x:c>
      <x:c r="H30" s="47" t="str"/>
      <x:c r="I30" s="47" t="str">
        <x:v>歷史、身分或政策背景</x:v>
      </x:c>
      <x:c r="J30" s="47" t="str">
        <x:v>維持現狀；善意和解</x:v>
      </x:c>
      <x:c r="K30" s="47" t="str">
        <x:v>部分</x:v>
      </x:c>
      <x:c r="L30" s="46" t="str">
        <x:v>已逐句初步編碼；可依研究問題調整</x:v>
      </x:c>
      <x:c r="M30" s="48" t="str">
        <x:v>https://www.president.gov.tw/NEWS/6742</x:v>
      </x:c>
    </x:row>
    <x:row r="31" ht="54" customHeight="1">
      <x:c r="A31" s="45" t="str">
        <x:v>2000-04</x:v>
      </x:c>
      <x:c r="B31" s="45" t="n">
        <x:v>2000</x:v>
      </x:c>
      <x:c r="C31" s="45" t="str">
        <x:v>陳水扁</x:v>
      </x:c>
      <x:c r="D31" s="45" t="str">
        <x:v>兩岸</x:v>
      </x:c>
      <x:c r="E31" s="46" t="str">
        <x:v>如今，冷戰已經結束，該是兩岸拋棄舊時代所遺留下來的敵意與對立的時候了。</x:v>
      </x:c>
      <x:c r="F31" s="47" t="str">
        <x:v>兩岸關係</x:v>
      </x:c>
      <x:c r="G31" s="47" t="str">
        <x:v>和解</x:v>
      </x:c>
      <x:c r="H31" s="47" t="str"/>
      <x:c r="I31" s="47" t="str">
        <x:v>歷史、身分或政策背景</x:v>
      </x:c>
      <x:c r="J31" s="47" t="str">
        <x:v>維持現狀；善意和解</x:v>
      </x:c>
      <x:c r="K31" s="47" t="str">
        <x:v>是</x:v>
      </x:c>
      <x:c r="L31" s="46" t="str">
        <x:v>已逐句初步編碼；可依研究問題調整</x:v>
      </x:c>
      <x:c r="M31" s="48" t="str">
        <x:v>https://www.president.gov.tw/NEWS/6742</x:v>
      </x:c>
    </x:row>
    <x:row r="32" ht="54" customHeight="1">
      <x:c r="A32" s="45" t="str">
        <x:v>2000-05</x:v>
      </x:c>
      <x:c r="B32" s="45" t="n">
        <x:v>2000</x:v>
      </x:c>
      <x:c r="C32" s="45" t="str">
        <x:v>陳水扁</x:v>
      </x:c>
      <x:c r="D32" s="45" t="str">
        <x:v>兩岸</x:v>
      </x:c>
      <x:c r="E32" s="46" t="str">
        <x:v>我們無須再等待，因為此刻就是兩岸共創和解時代的新契機。</x:v>
      </x:c>
      <x:c r="F32" s="47" t="str">
        <x:v>兩岸關係</x:v>
      </x:c>
      <x:c r="G32" s="47" t="str">
        <x:v>和解</x:v>
      </x:c>
      <x:c r="H32" s="47" t="str"/>
      <x:c r="I32" s="47" t="str">
        <x:v>和解</x:v>
      </x:c>
      <x:c r="J32" s="47" t="str">
        <x:v>維持現狀；善意和解</x:v>
      </x:c>
      <x:c r="K32" s="47" t="str">
        <x:v>是</x:v>
      </x:c>
      <x:c r="L32" s="46" t="str">
        <x:v>已逐句初步編碼；可依研究問題調整</x:v>
      </x:c>
      <x:c r="M32" s="48" t="str">
        <x:v>https://www.president.gov.tw/NEWS/6742</x:v>
      </x:c>
    </x:row>
    <x:row r="33" ht="54" customHeight="1">
      <x:c r="A33" s="45" t="str">
        <x:v>2000-06</x:v>
      </x:c>
      <x:c r="B33" s="45" t="n">
        <x:v>2000</x:v>
      </x:c>
      <x:c r="C33" s="45" t="str">
        <x:v>陳水扁</x:v>
      </x:c>
      <x:c r="D33" s="45" t="str">
        <x:v>中國、兩岸</x:v>
      </x:c>
      <x:c r="E33" s="46" t="str">
        <x:v>海峽兩岸人民源自於相同的血緣、文化和歷史背景，我們相信雙方的領導人一定有足夠的智慧與創意，秉持民主對等的原則，在既有的基礎之上，以善意營造合作的條件，共同來處理未來「一個中國」的問題。</x:v>
      </x:c>
      <x:c r="F33" s="47" t="str">
        <x:v>一個中國政治概念</x:v>
      </x:c>
      <x:c r="G33" s="47" t="str">
        <x:v>和解</x:v>
      </x:c>
      <x:c r="H33" s="47" t="str">
        <x:v>合作</x:v>
      </x:c>
      <x:c r="I33" s="47" t="str">
        <x:v>善意、合作</x:v>
      </x:c>
      <x:c r="J33" s="47" t="str">
        <x:v>維持現狀；善意和解</x:v>
      </x:c>
      <x:c r="K33" s="47" t="str">
        <x:v>是</x:v>
      </x:c>
      <x:c r="L33" s="46" t="str">
        <x:v>已逐句初步編碼；可依研究問題調整</x:v>
      </x:c>
      <x:c r="M33" s="48" t="str">
        <x:v>https://www.president.gov.tw/NEWS/6742</x:v>
      </x:c>
    </x:row>
    <x:row r="34" ht="54" customHeight="1">
      <x:c r="A34" s="45" t="str">
        <x:v>2000-07</x:v>
      </x:c>
      <x:c r="B34" s="45" t="n">
        <x:v>2000</x:v>
      </x:c>
      <x:c r="C34" s="45" t="str">
        <x:v>陳水扁</x:v>
      </x:c>
      <x:c r="D34" s="45" t="str">
        <x:v>中國</x:v>
      </x:c>
      <x:c r="E34" s="46" t="str">
        <x:v>中國人強調王霸之分，相信行仁政必能使「近者悅、遠者來」、「遠人不服，則修文德以來之」的道理。</x:v>
      </x:c>
      <x:c r="F34" s="47" t="str">
        <x:v>中國人／中華民族身分</x:v>
      </x:c>
      <x:c r="G34" s="47" t="str">
        <x:v>中性／背景</x:v>
      </x:c>
      <x:c r="H34" s="47" t="str"/>
      <x:c r="I34" s="47" t="str">
        <x:v>歷史、身分或政策背景</x:v>
      </x:c>
      <x:c r="J34" s="47" t="str">
        <x:v>維持現狀；善意和解</x:v>
      </x:c>
      <x:c r="K34" s="47" t="str">
        <x:v>否</x:v>
      </x:c>
      <x:c r="L34" s="46" t="str">
        <x:v>已逐句初步編碼；可依研究問題調整</x:v>
      </x:c>
      <x:c r="M34" s="48" t="str">
        <x:v>https://www.president.gov.tw/NEWS/6742</x:v>
      </x:c>
    </x:row>
    <x:row r="35" ht="54" customHeight="1">
      <x:c r="A35" s="45" t="str">
        <x:v>2000-08</x:v>
      </x:c>
      <x:c r="B35" s="45" t="n">
        <x:v>2000</x:v>
      </x:c>
      <x:c r="C35" s="45" t="str">
        <x:v>陳水扁</x:v>
      </x:c>
      <x:c r="D35" s="45" t="str">
        <x:v>中國</x:v>
      </x:c>
      <x:c r="E35" s="46" t="str">
        <x:v>這些中國人的智慧，即使到了下一個世紀，仍然是放諸四海皆準的至理名言。</x:v>
      </x:c>
      <x:c r="F35" s="47" t="str">
        <x:v>中國人／中華民族身分</x:v>
      </x:c>
      <x:c r="G35" s="47" t="str">
        <x:v>中性／背景</x:v>
      </x:c>
      <x:c r="H35" s="47" t="str"/>
      <x:c r="I35" s="47" t="str">
        <x:v>歷史、身分或政策背景</x:v>
      </x:c>
      <x:c r="J35" s="47" t="str">
        <x:v>維持現狀；善意和解</x:v>
      </x:c>
      <x:c r="K35" s="47" t="str">
        <x:v>否</x:v>
      </x:c>
      <x:c r="L35" s="46" t="str">
        <x:v>已逐句初步編碼；可依研究問題調整</x:v>
      </x:c>
      <x:c r="M35" s="48" t="str">
        <x:v>https://www.president.gov.tw/NEWS/6742</x:v>
      </x:c>
    </x:row>
    <x:row r="36" ht="54" customHeight="1">
      <x:c r="A36" s="45" t="str">
        <x:v>2000-09</x:v>
      </x:c>
      <x:c r="B36" s="45" t="n">
        <x:v>2000</x:v>
      </x:c>
      <x:c r="C36" s="45" t="str">
        <x:v>陳水扁</x:v>
      </x:c>
      <x:c r="D36" s="45" t="str">
        <x:v>兩岸</x:v>
      </x:c>
      <x:c r="E36" s="46" t="str">
        <x:v>在此基礎上，兩岸的政府與人民若能多多交流，秉持「善意和解、積極合作、永久和平」的原則，尊重人民自由意志的選擇，排除不必要的種種障礙，海峽兩岸必能為亞太地區的繁榮與穩定做出重大的貢獻，也必將為全體人類創造更輝煌的東方文明。</x:v>
      </x:c>
      <x:c r="F36" s="47" t="str">
        <x:v>兩岸關係</x:v>
      </x:c>
      <x:c r="G36" s="47" t="str">
        <x:v>合作</x:v>
      </x:c>
      <x:c r="H36" s="47" t="str">
        <x:v>和解</x:v>
      </x:c>
      <x:c r="I36" s="47" t="str">
        <x:v>合作、交流、和解、和平、善意、穩定</x:v>
      </x:c>
      <x:c r="J36" s="47" t="str">
        <x:v>維持現狀；善意和解</x:v>
      </x:c>
      <x:c r="K36" s="47" t="str">
        <x:v>是</x:v>
      </x:c>
      <x:c r="L36" s="46" t="str">
        <x:v>已逐句初步編碼；可依研究問題調整</x:v>
      </x:c>
      <x:c r="M36" s="48" t="str">
        <x:v>https://www.president.gov.tw/NEWS/6742</x:v>
      </x:c>
    </x:row>
    <x:row r="37" ht="54" customHeight="1">
      <x:c r="A37" s="45" t="str">
        <x:v>2004-01</x:v>
      </x:c>
      <x:c r="B37" s="45" t="n">
        <x:v>2004</x:v>
      </x:c>
      <x:c r="C37" s="45" t="str">
        <x:v>陳水扁</x:v>
      </x:c>
      <x:c r="D37" s="45" t="str">
        <x:v>兩岸</x:v>
      </x:c>
      <x:c r="E37" s="46" t="str">
        <x:v>團結台灣、穩定兩岸、安定社會、繁榮經濟，這些都是當前人民殷切的期待，也是政府未來施政的首要。</x:v>
      </x:c>
      <x:c r="F37" s="47" t="str">
        <x:v>兩岸關係</x:v>
      </x:c>
      <x:c r="G37" s="47" t="str">
        <x:v>和解</x:v>
      </x:c>
      <x:c r="H37" s="47" t="str"/>
      <x:c r="I37" s="47" t="str">
        <x:v>穩定</x:v>
      </x:c>
      <x:c r="J37" s="47" t="str">
        <x:v>和平發展；自由選擇</x:v>
      </x:c>
      <x:c r="K37" s="47" t="str">
        <x:v>是</x:v>
      </x:c>
      <x:c r="L37" s="46" t="str">
        <x:v>已逐句初步編碼；可依研究問題調整</x:v>
      </x:c>
      <x:c r="M37" s="48" t="str">
        <x:v>https://www.president.gov.tw/NEWS/8491</x:v>
      </x:c>
    </x:row>
    <x:row r="38" ht="54" customHeight="1">
      <x:c r="A38" s="45" t="str">
        <x:v>2004-02</x:v>
      </x:c>
      <x:c r="B38" s="45" t="n">
        <x:v>2004</x:v>
      </x:c>
      <x:c r="C38" s="45" t="str">
        <x:v>陳水扁</x:v>
      </x:c>
      <x:c r="D38" s="45" t="str">
        <x:v>對岸</x:v>
      </x:c>
      <x:c r="E38" s="46" t="str">
        <x:v>台灣人民愛好和平，我們絕對比任何人更關心自己的國家安全，面對海峽對岸持續增加的武力威脅，朝野全民應該凝聚堅強的國防意識，積極強化有效的防備，提升自我防衛的能力，也盼望國際社會繼續關注並協助維護台海的和平與亞太地區的穩定。</x:v>
      </x:c>
      <x:c r="F38" s="47" t="str">
        <x:v>對岸／北京</x:v>
      </x:c>
      <x:c r="G38" s="47" t="str">
        <x:v>威脅</x:v>
      </x:c>
      <x:c r="H38" s="47" t="str">
        <x:v>防衛</x:v>
      </x:c>
      <x:c r="I38" s="47" t="str">
        <x:v>威脅、武力、安全、國防、防衛</x:v>
      </x:c>
      <x:c r="J38" s="47" t="str">
        <x:v>和平發展；自由選擇</x:v>
      </x:c>
      <x:c r="K38" s="47" t="str">
        <x:v>是</x:v>
      </x:c>
      <x:c r="L38" s="46" t="str">
        <x:v>已逐句初步編碼；可依研究問題調整</x:v>
      </x:c>
      <x:c r="M38" s="48" t="str">
        <x:v>https://www.president.gov.tw/NEWS/8491</x:v>
      </x:c>
    </x:row>
    <x:row r="39" ht="54" customHeight="1">
      <x:c r="A39" s="45" t="str">
        <x:v>2004-03</x:v>
      </x:c>
      <x:c r="B39" s="45" t="n">
        <x:v>2004</x:v>
      </x:c>
      <x:c r="C39" s="45" t="str">
        <x:v>陳水扁</x:v>
      </x:c>
      <x:c r="D39" s="45" t="str">
        <x:v>兩岸</x:v>
      </x:c>
      <x:c r="E39" s="46" t="str">
        <x:v>海峽兩岸新世紀的領導人，為了創造人民最大的福祉，應該都能前瞻這個新趨勢，並且以全新的思維和格局，共同來面對和處理兩岸未來的問題。</x:v>
      </x:c>
      <x:c r="F39" s="47" t="str">
        <x:v>兩岸關係</x:v>
      </x:c>
      <x:c r="G39" s="47" t="str">
        <x:v>合作</x:v>
      </x:c>
      <x:c r="H39" s="47" t="str"/>
      <x:c r="I39" s="47" t="str">
        <x:v>歷史、身分或政策背景</x:v>
      </x:c>
      <x:c r="J39" s="47" t="str">
        <x:v>和平發展；自由選擇</x:v>
      </x:c>
      <x:c r="K39" s="47" t="str">
        <x:v>是</x:v>
      </x:c>
      <x:c r="L39" s="46" t="str">
        <x:v>已逐句初步編碼；可依研究問題調整</x:v>
      </x:c>
      <x:c r="M39" s="48" t="str">
        <x:v>https://www.president.gov.tw/NEWS/8491</x:v>
      </x:c>
    </x:row>
    <x:row r="40" ht="54" customHeight="1">
      <x:c r="A40" s="45" t="str">
        <x:v>2004-04</x:v>
      </x:c>
      <x:c r="B40" s="45" t="n">
        <x:v>2004</x:v>
      </x:c>
      <x:c r="C40" s="45" t="str">
        <x:v>陳水扁</x:v>
      </x:c>
      <x:c r="D40" s="45" t="str">
        <x:v>兩岸</x:v>
      </x:c>
      <x:c r="E40" s="46" t="str">
        <x:v>兩岸人民曾經擁有共同的血緣、文化和歷史背景，過去一個世紀以來也都遭逢強權的欺凌和專制的統治。</x:v>
      </x:c>
      <x:c r="F40" s="47" t="str">
        <x:v>兩岸關係</x:v>
      </x:c>
      <x:c r="G40" s="47" t="str">
        <x:v>中性／背景</x:v>
      </x:c>
      <x:c r="H40" s="47" t="str"/>
      <x:c r="I40" s="47" t="str">
        <x:v>歷史、身分或政策背景</x:v>
      </x:c>
      <x:c r="J40" s="47" t="str">
        <x:v>和平發展；自由選擇</x:v>
      </x:c>
      <x:c r="K40" s="47" t="str">
        <x:v>部分</x:v>
      </x:c>
      <x:c r="L40" s="46" t="str">
        <x:v>已逐句初步編碼；可依研究問題調整</x:v>
      </x:c>
      <x:c r="M40" s="48" t="str">
        <x:v>https://www.president.gov.tw/NEWS/8491</x:v>
      </x:c>
    </x:row>
    <x:row r="41" ht="54" customHeight="1">
      <x:c r="A41" s="45" t="str">
        <x:v>2004-05</x:v>
      </x:c>
      <x:c r="B41" s="45" t="n">
        <x:v>2004</x:v>
      </x:c>
      <x:c r="C41" s="45" t="str">
        <x:v>陳水扁</x:v>
      </x:c>
      <x:c r="D41" s="45" t="str">
        <x:v>兩岸</x:v>
      </x:c>
      <x:c r="E41" s="46" t="str">
        <x:v>如今，兩岸人民都有站起來當家作主的堅強意願，這一點應該能夠獲得彼此充分的理解。</x:v>
      </x:c>
      <x:c r="F41" s="47" t="str">
        <x:v>兩岸關係</x:v>
      </x:c>
      <x:c r="G41" s="47" t="str">
        <x:v>和解</x:v>
      </x:c>
      <x:c r="H41" s="47" t="str"/>
      <x:c r="I41" s="47" t="str">
        <x:v>歷史、身分或政策背景</x:v>
      </x:c>
      <x:c r="J41" s="47" t="str">
        <x:v>和平發展；自由選擇</x:v>
      </x:c>
      <x:c r="K41" s="47" t="str">
        <x:v>是</x:v>
      </x:c>
      <x:c r="L41" s="46" t="str">
        <x:v>已逐句初步編碼；可依研究問題調整</x:v>
      </x:c>
      <x:c r="M41" s="48" t="str">
        <x:v>https://www.president.gov.tw/NEWS/8491</x:v>
      </x:c>
    </x:row>
    <x:row r="42" ht="54" customHeight="1">
      <x:c r="A42" s="45" t="str">
        <x:v>2004-06</x:v>
      </x:c>
      <x:c r="B42" s="45" t="n">
        <x:v>2004</x:v>
      </x:c>
      <x:c r="C42" s="45" t="str">
        <x:v>陳水扁</x:v>
      </x:c>
      <x:c r="D42" s="45" t="str">
        <x:v>中國、對岸</x:v>
      </x:c>
      <x:c r="E42" s="46" t="str">
        <x:v>我們可以體會海峽對岸源於歷史情結與民族情感，無法放棄對於「一個中國原則」的堅持。</x:v>
      </x:c>
      <x:c r="F42" s="47" t="str">
        <x:v>一個中國政治概念</x:v>
      </x:c>
      <x:c r="G42" s="47" t="str">
        <x:v>中性／背景</x:v>
      </x:c>
      <x:c r="H42" s="47" t="str"/>
      <x:c r="I42" s="47" t="str">
        <x:v>歷史、身分或政策背景</x:v>
      </x:c>
      <x:c r="J42" s="47" t="str">
        <x:v>和平發展；自由選擇</x:v>
      </x:c>
      <x:c r="K42" s="47" t="str">
        <x:v>部分</x:v>
      </x:c>
      <x:c r="L42" s="46" t="str">
        <x:v>已逐句初步編碼；可依研究問題調整</x:v>
      </x:c>
      <x:c r="M42" s="48" t="str">
        <x:v>https://www.president.gov.tw/NEWS/8491</x:v>
      </x:c>
    </x:row>
    <x:row r="43" ht="54" customHeight="1">
      <x:c r="A43" s="45" t="str">
        <x:v>2004-07</x:v>
      </x:c>
      <x:c r="B43" s="45" t="n">
        <x:v>2004</x:v>
      </x:c>
      <x:c r="C43" s="45" t="str">
        <x:v>陳水扁</x:v>
      </x:c>
      <x:c r="D43" s="45" t="str">
        <x:v>北京</x:v>
      </x:c>
      <x:c r="E43" s="46" t="str">
        <x:v>相對的，北京當局也應該要充分瞭解，台灣人民要民主、愛和平、求生存、求發展的堅定信念。</x:v>
      </x:c>
      <x:c r="F43" s="47" t="str">
        <x:v>北京當局</x:v>
      </x:c>
      <x:c r="G43" s="47" t="str">
        <x:v>防衛</x:v>
      </x:c>
      <x:c r="H43" s="47" t="str"/>
      <x:c r="I43" s="47" t="str">
        <x:v>歷史、身分或政策背景</x:v>
      </x:c>
      <x:c r="J43" s="47" t="str">
        <x:v>和平發展；自由選擇</x:v>
      </x:c>
      <x:c r="K43" s="47" t="str">
        <x:v>是</x:v>
      </x:c>
      <x:c r="L43" s="46" t="str">
        <x:v>已逐句初步編碼；可依研究問題調整</x:v>
      </x:c>
      <x:c r="M43" s="48" t="str">
        <x:v>https://www.president.gov.tw/NEWS/8491</x:v>
      </x:c>
    </x:row>
    <x:row r="44" ht="54" customHeight="1">
      <x:c r="A44" s="45" t="str">
        <x:v>2004-08</x:v>
      </x:c>
      <x:c r="B44" s="45" t="n">
        <x:v>2004</x:v>
      </x:c>
      <x:c r="C44" s="45" t="str">
        <x:v>陳水扁</x:v>
      </x:c>
      <x:c r="D44" s="45" t="str">
        <x:v>對岸</x:v>
      </x:c>
      <x:c r="E44" s="46" t="str">
        <x:v>如果對岸不能夠體會兩千三百萬人民單純良善的心願，繼續對台灣施加武力的威脅和政治的孤立，無理的將台灣阻絕於國際社會之外，只會讓台灣的民心和海峽的對岸越離越遠。</x:v>
      </x:c>
      <x:c r="F44" s="47" t="str">
        <x:v>對岸／北京</x:v>
      </x:c>
      <x:c r="G44" s="47" t="str">
        <x:v>威脅</x:v>
      </x:c>
      <x:c r="H44" s="47" t="str">
        <x:v>防衛</x:v>
      </x:c>
      <x:c r="I44" s="47" t="str">
        <x:v>威脅、武力、孤立</x:v>
      </x:c>
      <x:c r="J44" s="47" t="str">
        <x:v>和平發展；自由選擇</x:v>
      </x:c>
      <x:c r="K44" s="47" t="str">
        <x:v>是</x:v>
      </x:c>
      <x:c r="L44" s="46" t="str">
        <x:v>已逐句初步編碼；可依研究問題調整</x:v>
      </x:c>
      <x:c r="M44" s="48" t="str">
        <x:v>https://www.president.gov.tw/NEWS/8491</x:v>
      </x:c>
    </x:row>
    <x:row r="45" ht="54" customHeight="1">
      <x:c r="A45" s="45" t="str">
        <x:v>2004-09</x:v>
      </x:c>
      <x:c r="B45" s="45" t="n">
        <x:v>2004</x:v>
      </x:c>
      <x:c r="C45" s="45" t="str">
        <x:v>陳水扁</x:v>
      </x:c>
      <x:c r="D45" s="45" t="str">
        <x:v>兩岸</x:v>
      </x:c>
      <x:c r="E45" s="46" t="str">
        <x:v>過去半個世紀以來，兩千三百萬人民胼手胝足所創造的台灣經驗，不僅印證了中華民國存在的正面價值，也應該是華人社會及兩岸人民的共同資產。</x:v>
      </x:c>
      <x:c r="F45" s="47" t="str">
        <x:v>兩岸關係</x:v>
      </x:c>
      <x:c r="G45" s="47" t="str">
        <x:v>合作</x:v>
      </x:c>
      <x:c r="H45" s="47" t="str"/>
      <x:c r="I45" s="47" t="str">
        <x:v>共同資產</x:v>
      </x:c>
      <x:c r="J45" s="47" t="str">
        <x:v>和平發展；自由選擇</x:v>
      </x:c>
      <x:c r="K45" s="47" t="str">
        <x:v>是</x:v>
      </x:c>
      <x:c r="L45" s="46" t="str">
        <x:v>已逐句初步編碼；可依研究問題調整</x:v>
      </x:c>
      <x:c r="M45" s="48" t="str">
        <x:v>https://www.president.gov.tw/NEWS/8491</x:v>
      </x:c>
    </x:row>
    <x:row r="46" ht="54" customHeight="1">
      <x:c r="A46" s="45" t="str">
        <x:v>2004-10</x:v>
      </x:c>
      <x:c r="B46" s="45" t="n">
        <x:v>2004</x:v>
      </x:c>
      <x:c r="C46" s="45" t="str">
        <x:v>陳水扁</x:v>
      </x:c>
      <x:c r="D46" s="45" t="str">
        <x:v>兩岸</x:v>
      </x:c>
      <x:c r="E46" s="46" t="str">
        <x:v>歷史的緣故讓兩岸發展出相當不同的政治制度和生活方式，但是如果以積極的態度來看待兩岸發展的「異」與「同」，應該可以善加利用，走向進一步合作互惠的關係。</x:v>
      </x:c>
      <x:c r="F46" s="47" t="str">
        <x:v>兩岸關係</x:v>
      </x:c>
      <x:c r="G46" s="47" t="str">
        <x:v>合作</x:v>
      </x:c>
      <x:c r="H46" s="47" t="str"/>
      <x:c r="I46" s="47" t="str">
        <x:v>合作、互惠</x:v>
      </x:c>
      <x:c r="J46" s="47" t="str">
        <x:v>和平發展；自由選擇</x:v>
      </x:c>
      <x:c r="K46" s="47" t="str">
        <x:v>是</x:v>
      </x:c>
      <x:c r="L46" s="46" t="str">
        <x:v>已逐句初步編碼；可依研究問題調整</x:v>
      </x:c>
      <x:c r="M46" s="48" t="str">
        <x:v>https://www.president.gov.tw/NEWS/8491</x:v>
      </x:c>
    </x:row>
    <x:row r="47" ht="54" customHeight="1">
      <x:c r="A47" s="45" t="str">
        <x:v>2004-11</x:v>
      </x:c>
      <x:c r="B47" s="45" t="n">
        <x:v>2004</x:v>
      </x:c>
      <x:c r="C47" s="45" t="str">
        <x:v>陳水扁</x:v>
      </x:c>
      <x:c r="D47" s="45" t="str">
        <x:v>中國、兩岸</x:v>
      </x:c>
      <x:c r="E47" s="46" t="str">
        <x:v>如果兩岸之間能夠本於善意，共同營造一個「和平發展、自由選擇」的環境，未來中華民國與中華人民共和國或者台灣與中國之間，將發展任何形式的關係，只要兩千三百萬台灣人民同意，我們都不排除。</x:v>
      </x:c>
      <x:c r="F47" s="47" t="str">
        <x:v>兩岸關係</x:v>
      </x:c>
      <x:c r="G47" s="47" t="str">
        <x:v>合作</x:v>
      </x:c>
      <x:c r="H47" s="47" t="str"/>
      <x:c r="I47" s="47" t="str">
        <x:v>歷史、身分或政策背景</x:v>
      </x:c>
      <x:c r="J47" s="47" t="str">
        <x:v>和平發展；自由選擇</x:v>
      </x:c>
      <x:c r="K47" s="47" t="str">
        <x:v>是</x:v>
      </x:c>
      <x:c r="L47" s="46" t="str">
        <x:v>已逐句初步編碼；可依研究問題調整</x:v>
      </x:c>
      <x:c r="M47" s="48" t="str">
        <x:v>https://www.president.gov.tw/NEWS/8491</x:v>
      </x:c>
    </x:row>
    <x:row r="48" ht="54" customHeight="1">
      <x:c r="A48" s="45" t="str">
        <x:v>2004-12</x:v>
      </x:c>
      <x:c r="B48" s="45" t="n">
        <x:v>2004</x:v>
      </x:c>
      <x:c r="C48" s="45" t="str">
        <x:v>陳水扁</x:v>
      </x:c>
      <x:c r="D48" s="45" t="str">
        <x:v>兩岸</x:v>
      </x:c>
      <x:c r="E48" s="46" t="str">
        <x:v>過去十幾年兩岸人民的互動交流，已經發展出極為密切的關係，對於兩岸關係的進展具有重要的價值與意義。</x:v>
      </x:c>
      <x:c r="F48" s="47" t="str">
        <x:v>兩岸關係</x:v>
      </x:c>
      <x:c r="G48" s="47" t="str">
        <x:v>合作</x:v>
      </x:c>
      <x:c r="H48" s="47" t="str"/>
      <x:c r="I48" s="47" t="str">
        <x:v>交流</x:v>
      </x:c>
      <x:c r="J48" s="47" t="str">
        <x:v>和平發展；自由選擇</x:v>
      </x:c>
      <x:c r="K48" s="47" t="str">
        <x:v>是</x:v>
      </x:c>
      <x:c r="L48" s="46" t="str">
        <x:v>已逐句初步編碼；可依研究問題調整</x:v>
      </x:c>
      <x:c r="M48" s="48" t="str">
        <x:v>https://www.president.gov.tw/NEWS/8491</x:v>
      </x:c>
    </x:row>
    <x:row r="49" ht="54" customHeight="1">
      <x:c r="A49" s="45" t="str">
        <x:v>2004-13</x:v>
      </x:c>
      <x:c r="B49" s="45" t="n">
        <x:v>2004</x:v>
      </x:c>
      <x:c r="C49" s="45" t="str">
        <x:v>陳水扁</x:v>
      </x:c>
      <x:c r="D49" s="45" t="str">
        <x:v>兩岸</x:v>
      </x:c>
      <x:c r="E49" s="46" t="str">
        <x:v>未來，我們希望在既有的基礎之上，持續放寬並且擴大兩岸新聞、資訊、教育、文化、經貿交流的相關措施，推動兩岸恢復對話與溝通的管道，如此才能拉近彼此的距離，建立互信的基礎。</x:v>
      </x:c>
      <x:c r="F49" s="47" t="str">
        <x:v>兩岸關係</x:v>
      </x:c>
      <x:c r="G49" s="47" t="str">
        <x:v>合作</x:v>
      </x:c>
      <x:c r="H49" s="47" t="str">
        <x:v>和解</x:v>
      </x:c>
      <x:c r="I49" s="47" t="str">
        <x:v>交流、經貿、對話、互信、溝通</x:v>
      </x:c>
      <x:c r="J49" s="47" t="str">
        <x:v>和平發展；自由選擇</x:v>
      </x:c>
      <x:c r="K49" s="47" t="str">
        <x:v>是</x:v>
      </x:c>
      <x:c r="L49" s="46" t="str">
        <x:v>已逐句初步編碼；可依研究問題調整</x:v>
      </x:c>
      <x:c r="M49" s="48" t="str">
        <x:v>https://www.president.gov.tw/NEWS/8491</x:v>
      </x:c>
    </x:row>
    <x:row r="50" ht="54" customHeight="1">
      <x:c r="A50" s="45" t="str">
        <x:v>2004-14</x:v>
      </x:c>
      <x:c r="B50" s="45" t="n">
        <x:v>2004</x:v>
      </x:c>
      <x:c r="C50" s="45" t="str">
        <x:v>陳水扁</x:v>
      </x:c>
      <x:c r="D50" s="45" t="str">
        <x:v>中國</x:v>
      </x:c>
      <x:c r="E50" s="46" t="str">
        <x:v>二十一世紀的前二十年，不僅是台灣要全面向上提升的關鍵轉型期，也是中國大陸邁向民主化及自由化的機遇期，雙方的政府理應掌握機會全力打拼，放眼於全球競爭的趨勢，不要再虛耗於政治爭辯的僵局。</x:v>
      </x:c>
      <x:c r="F50" s="47" t="str">
        <x:v>中國大陸</x:v>
      </x:c>
      <x:c r="G50" s="47" t="str">
        <x:v>合作</x:v>
      </x:c>
      <x:c r="H50" s="47" t="str"/>
      <x:c r="I50" s="47" t="str">
        <x:v>歷史、身分或政策背景</x:v>
      </x:c>
      <x:c r="J50" s="47" t="str">
        <x:v>和平發展；自由選擇</x:v>
      </x:c>
      <x:c r="K50" s="47" t="str">
        <x:v>是</x:v>
      </x:c>
      <x:c r="L50" s="46" t="str">
        <x:v>已逐句初步編碼；可依研究問題調整</x:v>
      </x:c>
      <x:c r="M50" s="48" t="str">
        <x:v>https://www.president.gov.tw/NEWS/8491</x:v>
      </x:c>
    </x:row>
    <x:row r="51" ht="54" customHeight="1">
      <x:c r="A51" s="45" t="str">
        <x:v>2004-15</x:v>
      </x:c>
      <x:c r="B51" s="45" t="n">
        <x:v>2004</x:v>
      </x:c>
      <x:c r="C51" s="45" t="str">
        <x:v>陳水扁</x:v>
      </x:c>
      <x:c r="D51" s="45" t="str">
        <x:v>兩岸、北京</x:v>
      </x:c>
      <x:c r="E51" s="46" t="str">
        <x:v>我們也相信，北京當局應該認知維持台海和平的現狀，對於兩岸各自的發展以及亞太區域穩定的重要性。</x:v>
      </x:c>
      <x:c r="F51" s="47" t="str">
        <x:v>北京當局</x:v>
      </x:c>
      <x:c r="G51" s="47" t="str">
        <x:v>防衛</x:v>
      </x:c>
      <x:c r="H51" s="47" t="str">
        <x:v>和解</x:v>
      </x:c>
      <x:c r="I51" s="47" t="str">
        <x:v>和平、穩定</x:v>
      </x:c>
      <x:c r="J51" s="47" t="str">
        <x:v>和平發展；自由選擇</x:v>
      </x:c>
      <x:c r="K51" s="47" t="str">
        <x:v>是</x:v>
      </x:c>
      <x:c r="L51" s="46" t="str">
        <x:v>已逐句初步編碼；可依研究問題調整</x:v>
      </x:c>
      <x:c r="M51" s="48" t="str">
        <x:v>https://www.president.gov.tw/NEWS/8491</x:v>
      </x:c>
    </x:row>
    <x:row r="52" ht="54" customHeight="1">
      <x:c r="A52" s="45" t="str">
        <x:v>2004-16</x:v>
      </x:c>
      <x:c r="B52" s="45" t="n">
        <x:v>2004</x:v>
      </x:c>
      <x:c r="C52" s="45" t="str">
        <x:v>陳水扁</x:v>
      </x:c>
      <x:c r="D52" s="45" t="str">
        <x:v>兩岸</x:v>
      </x:c>
      <x:c r="E52" s="46" t="str">
        <x:v>個人深信，唯有兩岸致力於建設與發展，協商建立一個動態的和平穩定互動架構，共同確保台海的現狀不被片面改變，並且進一步推動包括三通在內的文化經貿往來，才能符合兩岸人民的福祉與國際社會的期待。</x:v>
      </x:c>
      <x:c r="F52" s="47" t="str">
        <x:v>兩岸關係</x:v>
      </x:c>
      <x:c r="G52" s="47" t="str">
        <x:v>和解</x:v>
      </x:c>
      <x:c r="H52" s="47" t="str">
        <x:v>合作、防衛</x:v>
      </x:c>
      <x:c r="I52" s="47" t="str">
        <x:v>和平、穩定、協商、經貿、現狀不被片面改變</x:v>
      </x:c>
      <x:c r="J52" s="47" t="str">
        <x:v>和平發展；自由選擇</x:v>
      </x:c>
      <x:c r="K52" s="47" t="str">
        <x:v>是</x:v>
      </x:c>
      <x:c r="L52" s="46" t="str">
        <x:v>已逐句初步編碼；可依研究問題調整</x:v>
      </x:c>
      <x:c r="M52" s="48" t="str">
        <x:v>https://www.president.gov.tw/NEWS/8491</x:v>
      </x:c>
    </x:row>
    <x:row r="53" ht="54" customHeight="1">
      <x:c r="A53" s="45" t="str">
        <x:v>2004-17</x:v>
      </x:c>
      <x:c r="B53" s="45" t="n">
        <x:v>2004</x:v>
      </x:c>
      <x:c r="C53" s="45" t="str">
        <x:v>陳水扁</x:v>
      </x:c>
      <x:c r="D53" s="45" t="str">
        <x:v>兩岸</x:v>
      </x:c>
      <x:c r="E53" s="46" t="str">
        <x:v>身為中華民國的總統，接受台灣人民的付託，個人必須捍衛國家的主權、安全與尊嚴，兼顧國家的永續發展及台海的和平穩定，匯聚全民的意志和共識，妥善處理兩岸未來的關係。</x:v>
      </x:c>
      <x:c r="F53" s="47" t="str">
        <x:v>兩岸關係</x:v>
      </x:c>
      <x:c r="G53" s="47" t="str">
        <x:v>防衛</x:v>
      </x:c>
      <x:c r="H53" s="47" t="str"/>
      <x:c r="I53" s="47" t="str">
        <x:v>安全、主權</x:v>
      </x:c>
      <x:c r="J53" s="47" t="str">
        <x:v>和平發展；自由選擇</x:v>
      </x:c>
      <x:c r="K53" s="47" t="str">
        <x:v>是</x:v>
      </x:c>
      <x:c r="L53" s="46" t="str">
        <x:v>已逐句初步編碼；可依研究問題調整</x:v>
      </x:c>
      <x:c r="M53" s="48" t="str">
        <x:v>https://www.president.gov.tw/NEWS/8491</x:v>
      </x:c>
    </x:row>
    <x:row r="54" ht="54" customHeight="1">
      <x:c r="A54" s="45" t="str">
        <x:v>2004-18</x:v>
      </x:c>
      <x:c r="B54" s="45" t="n">
        <x:v>2004</x:v>
      </x:c>
      <x:c r="C54" s="45" t="str">
        <x:v>陳水扁</x:v>
      </x:c>
      <x:c r="D54" s="45" t="str">
        <x:v>兩岸</x:v>
      </x:c>
      <x:c r="E54" s="46" t="str">
        <x:v>在此基礎之上，阿扁將進一步邀集朝野政黨及社會各界共同參與，成立「兩岸和平發展委員會」，凝聚朝野的智慧與全民的共識，擬定「兩岸和平發展綱領」，共同策進兩岸和平穩定、永續發展的新關係。</x:v>
      </x:c>
      <x:c r="F54" s="47" t="str">
        <x:v>兩岸關係</x:v>
      </x:c>
      <x:c r="G54" s="47" t="str">
        <x:v>和解</x:v>
      </x:c>
      <x:c r="H54" s="47" t="str">
        <x:v>合作</x:v>
      </x:c>
      <x:c r="I54" s="47" t="str">
        <x:v>和平、穩定</x:v>
      </x:c>
      <x:c r="J54" s="47" t="str">
        <x:v>和平發展；自由選擇</x:v>
      </x:c>
      <x:c r="K54" s="47" t="str">
        <x:v>是</x:v>
      </x:c>
      <x:c r="L54" s="46" t="str">
        <x:v>已逐句初步編碼；可依研究問題調整</x:v>
      </x:c>
      <x:c r="M54" s="48" t="str">
        <x:v>https://www.president.gov.tw/NEWS/8491</x:v>
      </x:c>
    </x:row>
    <x:row r="55" ht="54" customHeight="1">
      <x:c r="A55" s="45" t="str">
        <x:v>2008-01</x:v>
      </x:c>
      <x:c r="B55" s="45" t="n">
        <x:v>2008</x:v>
      </x:c>
      <x:c r="C55" s="45" t="str">
        <x:v>馬英九</x:v>
      </x:c>
      <x:c r="D55" s="45" t="str">
        <x:v>兩岸</x:v>
      </x:c>
      <x:c r="E55" s="46" t="str">
        <x:v>值得慶幸的是，跟很多年輕的民主國家相比，我們民主成長的陣痛期並不算長，台灣人民卻能展現日趨成熟的民主風範，在關鍵時刻，作出明確的抉擇：人民選擇政治清廉、經濟開放、族群和諧、兩岸和平與迎向未來。</x:v>
      </x:c>
      <x:c r="F55" s="47" t="str">
        <x:v>兩岸關係</x:v>
      </x:c>
      <x:c r="G55" s="47" t="str">
        <x:v>和解</x:v>
      </x:c>
      <x:c r="H55" s="47" t="str"/>
      <x:c r="I55" s="47" t="str">
        <x:v>和平</x:v>
      </x:c>
      <x:c r="J55" s="47" t="str">
        <x:v>不統、不獨、不武；和解休兵</x:v>
      </x:c>
      <x:c r="K55" s="47" t="str">
        <x:v>是</x:v>
      </x:c>
      <x:c r="L55" s="46" t="str">
        <x:v>已逐句初步編碼；可依研究問題調整</x:v>
      </x:c>
      <x:c r="M55" s="48" t="str">
        <x:v>https://www.president.gov.tw/NEWS/12226</x:v>
      </x:c>
    </x:row>
    <x:row r="56" ht="54" customHeight="1">
      <x:c r="A56" s="45" t="str">
        <x:v>2008-02</x:v>
      </x:c>
      <x:c r="B56" s="45" t="n">
        <x:v>2008</x:v>
      </x:c>
      <x:c r="C56" s="45" t="str">
        <x:v>馬英九</x:v>
      </x:c>
      <x:c r="D56" s="45" t="str">
        <x:v>兩岸</x:v>
      </x:c>
      <x:c r="E56" s="46" t="str">
        <x:v>追求兩岸和平與維持區域穩定，是我們不變的目標。</x:v>
      </x:c>
      <x:c r="F56" s="47" t="str">
        <x:v>兩岸關係</x:v>
      </x:c>
      <x:c r="G56" s="47" t="str">
        <x:v>和解</x:v>
      </x:c>
      <x:c r="H56" s="47" t="str"/>
      <x:c r="I56" s="47" t="str">
        <x:v>和平、穩定</x:v>
      </x:c>
      <x:c r="J56" s="47" t="str">
        <x:v>不統、不獨、不武；和解休兵</x:v>
      </x:c>
      <x:c r="K56" s="47" t="str">
        <x:v>是</x:v>
      </x:c>
      <x:c r="L56" s="46" t="str">
        <x:v>已逐句初步編碼；可依研究問題調整</x:v>
      </x:c>
      <x:c r="M56" s="48" t="str">
        <x:v>https://www.president.gov.tw/NEWS/12226</x:v>
      </x:c>
    </x:row>
    <x:row r="57" ht="54" customHeight="1">
      <x:c r="A57" s="45" t="str">
        <x:v>2008-03</x:v>
      </x:c>
      <x:c r="B57" s="45" t="n">
        <x:v>2008</x:v>
      </x:c>
      <x:c r="C57" s="45" t="str">
        <x:v>馬英九</x:v>
      </x:c>
      <x:c r="D57" s="45" t="str">
        <x:v>兩岸</x:v>
      </x:c>
      <x:c r="E57" s="46" t="str">
        <x:v>英九由衷的盼望，海峽兩岸能抓住當前難得的歷史機遇，從今天開始，共同開啟和平共榮的歷史新頁。</x:v>
      </x:c>
      <x:c r="F57" s="47" t="str">
        <x:v>兩岸關係</x:v>
      </x:c>
      <x:c r="G57" s="47" t="str">
        <x:v>和解</x:v>
      </x:c>
      <x:c r="H57" s="47" t="str">
        <x:v>合作</x:v>
      </x:c>
      <x:c r="I57" s="47" t="str">
        <x:v>和平、共榮</x:v>
      </x:c>
      <x:c r="J57" s="47" t="str">
        <x:v>不統、不獨、不武；和解休兵</x:v>
      </x:c>
      <x:c r="K57" s="47" t="str">
        <x:v>是</x:v>
      </x:c>
      <x:c r="L57" s="46" t="str">
        <x:v>已逐句初步編碼；可依研究問題調整</x:v>
      </x:c>
      <x:c r="M57" s="48" t="str">
        <x:v>https://www.president.gov.tw/NEWS/12226</x:v>
      </x:c>
    </x:row>
    <x:row r="58" ht="54" customHeight="1">
      <x:c r="A58" s="45" t="str">
        <x:v>2008-04</x:v>
      </x:c>
      <x:c r="B58" s="45" t="n">
        <x:v>2008</x:v>
      </x:c>
      <x:c r="C58" s="45" t="str">
        <x:v>馬英九</x:v>
      </x:c>
      <x:c r="D58" s="45" t="str">
        <x:v>兩岸</x:v>
      </x:c>
      <x:c r="E58" s="46" t="str">
        <x:v>一九九二年，兩岸曾經達成「一中各表」的共識，隨後並完成多次協商，促成兩岸關係順利的發展。</x:v>
      </x:c>
      <x:c r="F58" s="47" t="str">
        <x:v>兩岸關係</x:v>
      </x:c>
      <x:c r="G58" s="47" t="str">
        <x:v>和解</x:v>
      </x:c>
      <x:c r="H58" s="47" t="str">
        <x:v>合作</x:v>
      </x:c>
      <x:c r="I58" s="47" t="str">
        <x:v>協商</x:v>
      </x:c>
      <x:c r="J58" s="47" t="str">
        <x:v>不統、不獨、不武；和解休兵</x:v>
      </x:c>
      <x:c r="K58" s="47" t="str">
        <x:v>是</x:v>
      </x:c>
      <x:c r="L58" s="46" t="str">
        <x:v>已逐句初步編碼；可依研究問題調整</x:v>
      </x:c>
      <x:c r="M58" s="48" t="str">
        <x:v>https://www.president.gov.tw/NEWS/12226</x:v>
      </x:c>
    </x:row>
    <x:row r="59" ht="54" customHeight="1">
      <x:c r="A59" s="45" t="str">
        <x:v>2008-05</x:v>
      </x:c>
      <x:c r="B59" s="45" t="n">
        <x:v>2008</x:v>
      </x:c>
      <x:c r="C59" s="45" t="str">
        <x:v>馬英九</x:v>
      </x:c>
      <x:c r="D59" s="45" t="str">
        <x:v>兩岸</x:v>
      </x:c>
      <x:c r="E59" s="46" t="str">
        <x:v>兩岸走向雙贏的起點，是經貿往來與文化交流的全面正常化，我們已經做好協商的準備。</x:v>
      </x:c>
      <x:c r="F59" s="47" t="str">
        <x:v>兩岸關係</x:v>
      </x:c>
      <x:c r="G59" s="47" t="str">
        <x:v>合作</x:v>
      </x:c>
      <x:c r="H59" s="47" t="str">
        <x:v>和解</x:v>
      </x:c>
      <x:c r="I59" s="47" t="str">
        <x:v>交流、協商、經貿、雙贏</x:v>
      </x:c>
      <x:c r="J59" s="47" t="str">
        <x:v>不統、不獨、不武；和解休兵</x:v>
      </x:c>
      <x:c r="K59" s="47" t="str">
        <x:v>是</x:v>
      </x:c>
      <x:c r="L59" s="46" t="str">
        <x:v>已逐句初步編碼；可依研究問題調整</x:v>
      </x:c>
      <x:c r="M59" s="48" t="str">
        <x:v>https://www.president.gov.tw/NEWS/12226</x:v>
      </x:c>
    </x:row>
    <x:row r="60" ht="54" customHeight="1">
      <x:c r="A60" s="45" t="str">
        <x:v>2008-06</x:v>
      </x:c>
      <x:c r="B60" s="45" t="n">
        <x:v>2008</x:v>
      </x:c>
      <x:c r="C60" s="45" t="str">
        <x:v>馬英九</x:v>
      </x:c>
      <x:c r="D60" s="45" t="str">
        <x:v>兩岸</x:v>
      </x:c>
      <x:c r="E60" s="46" t="str">
        <x:v>希望七月即將開始的週末包機直航與大陸觀光客來台，能讓兩岸關係跨入一個嶄新的時代。</x:v>
      </x:c>
      <x:c r="F60" s="47" t="str">
        <x:v>兩岸關係</x:v>
      </x:c>
      <x:c r="G60" s="47" t="str">
        <x:v>合作</x:v>
      </x:c>
      <x:c r="H60" s="47" t="str"/>
      <x:c r="I60" s="47" t="str">
        <x:v>直航、觀光</x:v>
      </x:c>
      <x:c r="J60" s="47" t="str">
        <x:v>不統、不獨、不武；和解休兵</x:v>
      </x:c>
      <x:c r="K60" s="47" t="str">
        <x:v>是</x:v>
      </x:c>
      <x:c r="L60" s="46" t="str">
        <x:v>已逐句初步編碼；可依研究問題調整</x:v>
      </x:c>
      <x:c r="M60" s="48" t="str">
        <x:v>https://www.president.gov.tw/NEWS/12226</x:v>
      </x:c>
    </x:row>
    <x:row r="61" ht="54" customHeight="1">
      <x:c r="A61" s="45" t="str">
        <x:v>2008-07</x:v>
      </x:c>
      <x:c r="B61" s="45" t="n">
        <x:v>2008</x:v>
      </x:c>
      <x:c r="C61" s="45" t="str">
        <x:v>馬英九</x:v>
      </x:c>
      <x:c r="D61" s="45" t="str">
        <x:v>兩岸</x:v>
      </x:c>
      <x:c r="E61" s="46" t="str">
        <x:v>未來我們也將與大陸就台灣國際空間與兩岸和平協議進行協商。</x:v>
      </x:c>
      <x:c r="F61" s="47" t="str">
        <x:v>兩岸關係</x:v>
      </x:c>
      <x:c r="G61" s="47" t="str">
        <x:v>和解</x:v>
      </x:c>
      <x:c r="H61" s="47" t="str">
        <x:v>合作</x:v>
      </x:c>
      <x:c r="I61" s="47" t="str">
        <x:v>和平、協商、協議</x:v>
      </x:c>
      <x:c r="J61" s="47" t="str">
        <x:v>不統、不獨、不武；和解休兵</x:v>
      </x:c>
      <x:c r="K61" s="47" t="str">
        <x:v>是</x:v>
      </x:c>
      <x:c r="L61" s="46" t="str">
        <x:v>已逐句初步編碼；可依研究問題調整</x:v>
      </x:c>
      <x:c r="M61" s="48" t="str">
        <x:v>https://www.president.gov.tw/NEWS/12226</x:v>
      </x:c>
    </x:row>
    <x:row r="62" ht="54" customHeight="1">
      <x:c r="A62" s="45" t="str">
        <x:v>2008-08</x:v>
      </x:c>
      <x:c r="B62" s="45" t="n">
        <x:v>2008</x:v>
      </x:c>
      <x:c r="C62" s="45" t="str">
        <x:v>馬英九</x:v>
      </x:c>
      <x:c r="D62" s="45" t="str">
        <x:v>兩岸</x:v>
      </x:c>
      <x:c r="E62" s="46" t="str">
        <x:v>唯有台灣在國際上不被孤立，兩岸關係才能夠向前發展。</x:v>
      </x:c>
      <x:c r="F62" s="47" t="str">
        <x:v>兩岸關係</x:v>
      </x:c>
      <x:c r="G62" s="47" t="str">
        <x:v>防衛</x:v>
      </x:c>
      <x:c r="H62" s="47" t="str"/>
      <x:c r="I62" s="47" t="str">
        <x:v>歷史、身分或政策背景</x:v>
      </x:c>
      <x:c r="J62" s="47" t="str">
        <x:v>不統、不獨、不武；和解休兵</x:v>
      </x:c>
      <x:c r="K62" s="47" t="str">
        <x:v>是</x:v>
      </x:c>
      <x:c r="L62" s="46" t="str">
        <x:v>已逐句初步編碼；可依研究問題調整</x:v>
      </x:c>
      <x:c r="M62" s="48" t="str">
        <x:v>https://www.president.gov.tw/NEWS/12226</x:v>
      </x:c>
    </x:row>
    <x:row r="63" ht="54" customHeight="1">
      <x:c r="A63" s="45" t="str">
        <x:v>2008-09</x:v>
      </x:c>
      <x:c r="B63" s="45" t="n">
        <x:v>2008</x:v>
      </x:c>
      <x:c r="C63" s="45" t="str">
        <x:v>馬英九</x:v>
      </x:c>
      <x:c r="D63" s="45" t="str">
        <x:v>兩岸</x:v>
      </x:c>
      <x:c r="E63" s="46" t="str">
        <x:v>我們注意到胡錦濤先生最近三次有關兩岸關係的談話，分別是三月二十六日與美國布希總統談到「九二共識」、四月十二日在博鰲論壇提出「四個繼續」、以及四月二十九日主張兩岸要「建立互信、擱置爭議、求同存異、共創雙贏」，這些觀點都與我方的理念相當的一致。</x:v>
      </x:c>
      <x:c r="F63" s="47" t="str">
        <x:v>兩岸關係</x:v>
      </x:c>
      <x:c r="G63" s="47" t="str">
        <x:v>和解</x:v>
      </x:c>
      <x:c r="H63" s="47" t="str">
        <x:v>合作</x:v>
      </x:c>
      <x:c r="I63" s="47" t="str">
        <x:v>互信、求同存異、雙贏</x:v>
      </x:c>
      <x:c r="J63" s="47" t="str">
        <x:v>不統、不獨、不武；和解休兵</x:v>
      </x:c>
      <x:c r="K63" s="47" t="str">
        <x:v>是</x:v>
      </x:c>
      <x:c r="L63" s="46" t="str">
        <x:v>已逐句初步編碼；可依研究問題調整</x:v>
      </x:c>
      <x:c r="M63" s="48" t="str">
        <x:v>https://www.president.gov.tw/NEWS/12226</x:v>
      </x:c>
    </x:row>
    <x:row r="64" ht="54" customHeight="1">
      <x:c r="A64" s="45" t="str">
        <x:v>2008-10</x:v>
      </x:c>
      <x:c r="B64" s="45" t="n">
        <x:v>2008</x:v>
      </x:c>
      <x:c r="C64" s="45" t="str">
        <x:v>馬英九</x:v>
      </x:c>
      <x:c r="D64" s="45" t="str">
        <x:v>兩岸</x:v>
      </x:c>
      <x:c r="E64" s="46" t="str">
        <x:v>因此，英九願意在此誠懇的呼籲：兩岸不論在台灣海峽或國際社會，都應該和解休兵，並在國際組織及活動中相互協助、彼此尊重。</x:v>
      </x:c>
      <x:c r="F64" s="47" t="str">
        <x:v>兩岸關係</x:v>
      </x:c>
      <x:c r="G64" s="47" t="str">
        <x:v>和解</x:v>
      </x:c>
      <x:c r="H64" s="47" t="str">
        <x:v>合作</x:v>
      </x:c>
      <x:c r="I64" s="47" t="str">
        <x:v>和解、休兵、相互協助</x:v>
      </x:c>
      <x:c r="J64" s="47" t="str">
        <x:v>不統、不獨、不武；和解休兵</x:v>
      </x:c>
      <x:c r="K64" s="47" t="str">
        <x:v>是</x:v>
      </x:c>
      <x:c r="L64" s="46" t="str">
        <x:v>已逐句初步編碼；可依研究問題調整</x:v>
      </x:c>
      <x:c r="M64" s="48" t="str">
        <x:v>https://www.president.gov.tw/NEWS/12226</x:v>
      </x:c>
    </x:row>
    <x:row r="65" ht="54" customHeight="1">
      <x:c r="A65" s="45" t="str">
        <x:v>2008-11</x:v>
      </x:c>
      <x:c r="B65" s="45" t="n">
        <x:v>2008</x:v>
      </x:c>
      <x:c r="C65" s="45" t="str">
        <x:v>馬英九</x:v>
      </x:c>
      <x:c r="D65" s="45" t="str">
        <x:v>兩岸</x:v>
      </x:c>
      <x:c r="E65" s="46" t="str">
        <x:v>兩岸人民同屬中華民族，本應各盡所能，齊頭並進，共同貢獻國際社會，而非惡性競爭、虛耗資源。</x:v>
      </x:c>
      <x:c r="F65" s="47" t="str">
        <x:v>兩岸關係</x:v>
      </x:c>
      <x:c r="G65" s="47" t="str">
        <x:v>合作</x:v>
      </x:c>
      <x:c r="H65" s="47" t="str">
        <x:v>和解</x:v>
      </x:c>
      <x:c r="I65" s="47" t="str">
        <x:v>歷史、身分或政策背景</x:v>
      </x:c>
      <x:c r="J65" s="47" t="str">
        <x:v>不統、不獨、不武；和解休兵</x:v>
      </x:c>
      <x:c r="K65" s="47" t="str">
        <x:v>是</x:v>
      </x:c>
      <x:c r="L65" s="46" t="str">
        <x:v>已逐句初步編碼；可依研究問題調整</x:v>
      </x:c>
      <x:c r="M65" s="48" t="str">
        <x:v>https://www.president.gov.tw/NEWS/12226</x:v>
      </x:c>
    </x:row>
    <x:row r="66" ht="54" customHeight="1">
      <x:c r="A66" s="45" t="str">
        <x:v>2008-12</x:v>
      </x:c>
      <x:c r="B66" s="45" t="n">
        <x:v>2008</x:v>
      </x:c>
      <x:c r="C66" s="45" t="str">
        <x:v>馬英九</x:v>
      </x:c>
      <x:c r="D66" s="45" t="str">
        <x:v>兩岸</x:v>
      </x:c>
      <x:c r="E66" s="46" t="str">
        <x:v>英九堅信，兩岸問題最終解決的關鍵不在主權爭議，而在生活方式與核心價值。</x:v>
      </x:c>
      <x:c r="F66" s="47" t="str">
        <x:v>兩岸關係</x:v>
      </x:c>
      <x:c r="G66" s="47" t="str">
        <x:v>中性／背景</x:v>
      </x:c>
      <x:c r="H66" s="47" t="str"/>
      <x:c r="I66" s="47" t="str">
        <x:v>歷史、身分或政策背景</x:v>
      </x:c>
      <x:c r="J66" s="47" t="str">
        <x:v>不統、不獨、不武；和解休兵</x:v>
      </x:c>
      <x:c r="K66" s="47" t="str">
        <x:v>部分</x:v>
      </x:c>
      <x:c r="L66" s="46" t="str">
        <x:v>已逐句初步編碼；可依研究問題調整</x:v>
      </x:c>
      <x:c r="M66" s="48" t="str">
        <x:v>https://www.president.gov.tw/NEWS/12226</x:v>
      </x:c>
    </x:row>
    <x:row r="67" ht="54" customHeight="1">
      <x:c r="A67" s="45" t="str">
        <x:v>2008-13</x:v>
      </x:c>
      <x:c r="B67" s="45" t="n">
        <x:v>2008</x:v>
      </x:c>
      <x:c r="C67" s="45" t="str">
        <x:v>馬英九</x:v>
      </x:c>
      <x:c r="D67" s="45" t="str">
        <x:v>中國、兩岸</x:v>
      </x:c>
      <x:c r="E67" s="46" t="str">
        <x:v>我們真誠關心大陸十三億同胞的福祉，由衷盼望中國大陸能繼續走向自由、民主與均富的大道，為兩岸關係的長遠和平發展，創造雙贏的歷史條件。</x:v>
      </x:c>
      <x:c r="F67" s="47" t="str">
        <x:v>中國大陸</x:v>
      </x:c>
      <x:c r="G67" s="47" t="str">
        <x:v>和解</x:v>
      </x:c>
      <x:c r="H67" s="47" t="str">
        <x:v>合作</x:v>
      </x:c>
      <x:c r="I67" s="47" t="str">
        <x:v>和平、雙贏</x:v>
      </x:c>
      <x:c r="J67" s="47" t="str">
        <x:v>不統、不獨、不武；和解休兵</x:v>
      </x:c>
      <x:c r="K67" s="47" t="str">
        <x:v>是</x:v>
      </x:c>
      <x:c r="L67" s="46" t="str">
        <x:v>已逐句初步編碼；可依研究問題調整</x:v>
      </x:c>
      <x:c r="M67" s="48" t="str">
        <x:v>https://www.president.gov.tw/NEWS/12226</x:v>
      </x:c>
    </x:row>
    <x:row r="68" ht="54" customHeight="1">
      <x:c r="A68" s="45" t="str">
        <x:v>2008-14</x:v>
      </x:c>
      <x:c r="B68" s="45" t="n">
        <x:v>2008</x:v>
      </x:c>
      <x:c r="C68" s="45" t="str">
        <x:v>馬英九</x:v>
      </x:c>
      <x:c r="D68" s="45" t="str">
        <x:v>中國</x:v>
      </x:c>
      <x:c r="E68" s="46" t="str">
        <x:v>國父孫中山先生的民主憲政理想，當年在中國大陸沒有能夠實現，但今天在台灣終於生根、開花、結果。</x:v>
      </x:c>
      <x:c r="F68" s="47" t="str">
        <x:v>中國大陸</x:v>
      </x:c>
      <x:c r="G68" s="47" t="str">
        <x:v>中性／背景</x:v>
      </x:c>
      <x:c r="H68" s="47" t="str"/>
      <x:c r="I68" s="47" t="str">
        <x:v>歷史、身分或政策背景</x:v>
      </x:c>
      <x:c r="J68" s="47" t="str">
        <x:v>不統、不獨、不武；和解休兵</x:v>
      </x:c>
      <x:c r="K68" s="47" t="str">
        <x:v>部分</x:v>
      </x:c>
      <x:c r="L68" s="46" t="str">
        <x:v>已逐句初步編碼；可依研究問題調整</x:v>
      </x:c>
      <x:c r="M68" s="48" t="str">
        <x:v>https://www.president.gov.tw/NEWS/12226</x:v>
      </x:c>
    </x:row>
    <x:row r="69" ht="54" customHeight="1">
      <x:c r="A69" s="45" t="str">
        <x:v>2012-01</x:v>
      </x:c>
      <x:c r="B69" s="45" t="n">
        <x:v>2012</x:v>
      </x:c>
      <x:c r="C69" s="45" t="str">
        <x:v>馬英九</x:v>
      </x:c>
      <x:c r="D69" s="45" t="str">
        <x:v>中國</x:v>
      </x:c>
      <x:c r="E69" s="46" t="str">
        <x:v>我們看到，美韓自由貿易協定在今年三月生效；中國大陸與日、韓的自由貿易協定談判也將在今年內啟動，我們必須加快自由化的腳步，不能再蹉跎。</x:v>
      </x:c>
      <x:c r="F69" s="47" t="str">
        <x:v>中國大陸</x:v>
      </x:c>
      <x:c r="G69" s="47" t="str">
        <x:v>中性／背景</x:v>
      </x:c>
      <x:c r="H69" s="47" t="str"/>
      <x:c r="I69" s="47" t="str">
        <x:v>歷史、身分或政策背景</x:v>
      </x:c>
      <x:c r="J69" s="47" t="str">
        <x:v>九二共識；和平發展</x:v>
      </x:c>
      <x:c r="K69" s="47" t="str">
        <x:v>部分</x:v>
      </x:c>
      <x:c r="L69" s="46" t="str">
        <x:v>已逐句初步編碼；可依研究問題調整</x:v>
      </x:c>
      <x:c r="M69" s="48" t="str">
        <x:v>https://www.president.gov.tw/NEWS/16612</x:v>
      </x:c>
    </x:row>
    <x:row r="70" ht="54" customHeight="1">
      <x:c r="A70" s="45" t="str">
        <x:v>2012-02</x:v>
      </x:c>
      <x:c r="B70" s="45" t="n">
        <x:v>2012</x:v>
      </x:c>
      <x:c r="C70" s="45" t="str">
        <x:v>馬英九</x:v>
      </x:c>
      <x:c r="D70" s="45" t="str">
        <x:v>兩岸</x:v>
      </x:c>
      <x:c r="E70" s="46" t="str">
        <x:v>我們要儘快完成「兩岸經濟合作架構協議」的後續協商，加速與新加坡、紐西蘭等重要貿易夥伴洽簽經濟合作協議，並在未來八年內做好加入「跨太平洋經濟夥伴協定」的準備，以掌握融入國際經貿體系的歷史機遇。</x:v>
      </x:c>
      <x:c r="F70" s="47" t="str">
        <x:v>兩岸關係</x:v>
      </x:c>
      <x:c r="G70" s="47" t="str">
        <x:v>合作</x:v>
      </x:c>
      <x:c r="H70" s="47" t="str"/>
      <x:c r="I70" s="47" t="str">
        <x:v>合作、協商、協議、經貿</x:v>
      </x:c>
      <x:c r="J70" s="47" t="str">
        <x:v>九二共識；和平發展</x:v>
      </x:c>
      <x:c r="K70" s="47" t="str">
        <x:v>是</x:v>
      </x:c>
      <x:c r="L70" s="46" t="str">
        <x:v>已逐句初步編碼；可依研究問題調整</x:v>
      </x:c>
      <x:c r="M70" s="48" t="str">
        <x:v>https://www.president.gov.tw/NEWS/16612</x:v>
      </x:c>
    </x:row>
    <x:row r="71" ht="54" customHeight="1">
      <x:c r="A71" s="45" t="str">
        <x:v>2012-03</x:v>
      </x:c>
      <x:c r="B71" s="45" t="n">
        <x:v>2012</x:v>
      </x:c>
      <x:c r="C71" s="45" t="str">
        <x:v>馬英九</x:v>
      </x:c>
      <x:c r="D71" s="45" t="str">
        <x:v>兩岸</x:v>
      </x:c>
      <x:c r="E71" s="46" t="str">
        <x:v>國家安全是中華民國生存的關鍵，英九認為，以兩岸和解實現臺海和平、以活路外交拓展國際空間、以國防武力嚇阻外來威脅，是確保臺灣安全的鐵三角，我們必須同等重視、平衡發展。</x:v>
      </x:c>
      <x:c r="F71" s="47" t="str">
        <x:v>兩岸關係</x:v>
      </x:c>
      <x:c r="G71" s="47" t="str">
        <x:v>防衛</x:v>
      </x:c>
      <x:c r="H71" s="47" t="str">
        <x:v>和解</x:v>
      </x:c>
      <x:c r="I71" s="47" t="str">
        <x:v>安全、國防、嚇阻、和解、和平</x:v>
      </x:c>
      <x:c r="J71" s="47" t="str">
        <x:v>九二共識；和平發展</x:v>
      </x:c>
      <x:c r="K71" s="47" t="str">
        <x:v>是</x:v>
      </x:c>
      <x:c r="L71" s="46" t="str">
        <x:v>已逐句初步編碼；可依研究問題調整</x:v>
      </x:c>
      <x:c r="M71" s="48" t="str">
        <x:v>https://www.president.gov.tw/NEWS/16612</x:v>
      </x:c>
    </x:row>
    <x:row r="72" ht="54" customHeight="1">
      <x:c r="A72" s="45" t="str">
        <x:v>2012-04</x:v>
      </x:c>
      <x:c r="B72" s="45" t="n">
        <x:v>2012</x:v>
      </x:c>
      <x:c r="C72" s="45" t="str">
        <x:v>馬英九</x:v>
      </x:c>
      <x:c r="D72" s="45" t="str">
        <x:v>兩岸</x:v>
      </x:c>
      <x:c r="E72" s="46" t="str">
        <x:v>鐵三角的第一個角，就是以兩岸和解實現臺海和平。</x:v>
      </x:c>
      <x:c r="F72" s="47" t="str">
        <x:v>兩岸關係</x:v>
      </x:c>
      <x:c r="G72" s="47" t="str">
        <x:v>和解</x:v>
      </x:c>
      <x:c r="H72" s="47" t="str"/>
      <x:c r="I72" s="47" t="str">
        <x:v>和解、和平</x:v>
      </x:c>
      <x:c r="J72" s="47" t="str">
        <x:v>九二共識；和平發展</x:v>
      </x:c>
      <x:c r="K72" s="47" t="str">
        <x:v>是</x:v>
      </x:c>
      <x:c r="L72" s="46" t="str">
        <x:v>已逐句初步編碼；可依研究問題調整</x:v>
      </x:c>
      <x:c r="M72" s="48" t="str">
        <x:v>https://www.president.gov.tw/NEWS/16612</x:v>
      </x:c>
    </x:row>
    <x:row r="73" ht="54" customHeight="1">
      <x:c r="A73" s="45" t="str">
        <x:v>2012-05</x:v>
      </x:c>
      <x:c r="B73" s="45" t="n">
        <x:v>2012</x:v>
      </x:c>
      <x:c r="C73" s="45" t="str">
        <x:v>馬英九</x:v>
      </x:c>
      <x:c r="D73" s="45" t="str">
        <x:v>兩岸</x:v>
      </x:c>
      <x:c r="E73" s="46" t="str">
        <x:v>四年來，政府堅持「對等、尊嚴、互惠」的理念，「以臺灣為主、對人民有利」的原則，恢復兩岸制度化協商，簽署16項協議，實現兩岸和解。</x:v>
      </x:c>
      <x:c r="F73" s="47" t="str">
        <x:v>兩岸關係</x:v>
      </x:c>
      <x:c r="G73" s="47" t="str">
        <x:v>合作</x:v>
      </x:c>
      <x:c r="H73" s="47" t="str">
        <x:v>和解</x:v>
      </x:c>
      <x:c r="I73" s="47" t="str">
        <x:v>互惠、協商、協議、和解</x:v>
      </x:c>
      <x:c r="J73" s="47" t="str">
        <x:v>九二共識；和平發展</x:v>
      </x:c>
      <x:c r="K73" s="47" t="str">
        <x:v>是</x:v>
      </x:c>
      <x:c r="L73" s="46" t="str">
        <x:v>已逐句初步編碼；可依研究問題調整</x:v>
      </x:c>
      <x:c r="M73" s="48" t="str">
        <x:v>https://www.president.gov.tw/NEWS/16612</x:v>
      </x:c>
    </x:row>
    <x:row r="74" ht="54" customHeight="1">
      <x:c r="A74" s="45" t="str">
        <x:v>2012-06</x:v>
      </x:c>
      <x:c r="B74" s="45" t="n">
        <x:v>2012</x:v>
      </x:c>
      <x:c r="C74" s="45" t="str">
        <x:v>馬英九</x:v>
      </x:c>
      <x:c r="D74" s="45" t="str">
        <x:v>兩岸</x:v>
      </x:c>
      <x:c r="E74" s="46" t="str">
        <x:v>行政部門公開且透明地對國會負責，並加強與在野黨溝通，努力尋求共識，兩岸和解因此建立制度化的保障。</x:v>
      </x:c>
      <x:c r="F74" s="47" t="str">
        <x:v>兩岸關係</x:v>
      </x:c>
      <x:c r="G74" s="47" t="str">
        <x:v>和解</x:v>
      </x:c>
      <x:c r="H74" s="47" t="str"/>
      <x:c r="I74" s="47" t="str">
        <x:v>和解、溝通</x:v>
      </x:c>
      <x:c r="J74" s="47" t="str">
        <x:v>九二共識；和平發展</x:v>
      </x:c>
      <x:c r="K74" s="47" t="str">
        <x:v>是</x:v>
      </x:c>
      <x:c r="L74" s="46" t="str">
        <x:v>已逐句初步編碼；可依研究問題調整</x:v>
      </x:c>
      <x:c r="M74" s="48" t="str">
        <x:v>https://www.president.gov.tw/NEWS/16612</x:v>
      </x:c>
    </x:row>
    <x:row r="75" ht="54" customHeight="1">
      <x:c r="A75" s="45" t="str">
        <x:v>2012-07</x:v>
      </x:c>
      <x:c r="B75" s="45" t="n">
        <x:v>2012</x:v>
      </x:c>
      <x:c r="C75" s="45" t="str">
        <x:v>馬英九</x:v>
      </x:c>
      <x:c r="D75" s="45" t="str">
        <x:v>兩岸</x:v>
      </x:c>
      <x:c r="E75" s="46" t="str">
        <x:v>過去四年，我們改善兩岸關係，降低臺海緊張，帶來和平與繁榮，獲得廣大民眾的支持，但仍有部分民眾對我們的大陸政策存有疑慮。</x:v>
      </x:c>
      <x:c r="F75" s="47" t="str">
        <x:v>兩岸關係</x:v>
      </x:c>
      <x:c r="G75" s="47" t="str">
        <x:v>和解</x:v>
      </x:c>
      <x:c r="H75" s="47" t="str"/>
      <x:c r="I75" s="47" t="str">
        <x:v>和平、降低</x:v>
      </x:c>
      <x:c r="J75" s="47" t="str">
        <x:v>九二共識；和平發展</x:v>
      </x:c>
      <x:c r="K75" s="47" t="str">
        <x:v>是</x:v>
      </x:c>
      <x:c r="L75" s="46" t="str">
        <x:v>已逐句初步編碼；可依研究問題調整</x:v>
      </x:c>
      <x:c r="M75" s="48" t="str">
        <x:v>https://www.president.gov.tw/NEWS/16612</x:v>
      </x:c>
    </x:row>
    <x:row r="76" ht="54" customHeight="1">
      <x:c r="A76" s="45" t="str">
        <x:v>2012-08</x:v>
      </x:c>
      <x:c r="B76" s="45" t="n">
        <x:v>2012</x:v>
      </x:c>
      <x:c r="C76" s="45" t="str">
        <x:v>馬英九</x:v>
      </x:c>
      <x:c r="D76" s="45" t="str">
        <x:v>兩岸</x:v>
      </x:c>
      <x:c r="E76" s="46" t="str">
        <x:v>英九要在此鄭重指出：中華民國憲法是政府處理兩岸關係的最高指導原則；兩岸政策必須在中華民國憲法架構下，維持臺海「不統、不獨、不武」的現狀，在「九二共識、一中各表」的基礎上，推動兩岸和平發展；而我們所說的「一中」，當然就是中華民國。</x:v>
      </x:c>
      <x:c r="F76" s="47" t="str">
        <x:v>兩岸關係</x:v>
      </x:c>
      <x:c r="G76" s="47" t="str">
        <x:v>防衛</x:v>
      </x:c>
      <x:c r="H76" s="47" t="str">
        <x:v>和解</x:v>
      </x:c>
      <x:c r="I76" s="47" t="str">
        <x:v>憲法、和平</x:v>
      </x:c>
      <x:c r="J76" s="47" t="str">
        <x:v>九二共識；和平發展</x:v>
      </x:c>
      <x:c r="K76" s="47" t="str">
        <x:v>是</x:v>
      </x:c>
      <x:c r="L76" s="46" t="str">
        <x:v>已逐句初步編碼；可依研究問題調整</x:v>
      </x:c>
      <x:c r="M76" s="48" t="str">
        <x:v>https://www.president.gov.tw/NEWS/16612</x:v>
      </x:c>
    </x:row>
    <x:row r="77" ht="54" customHeight="1">
      <x:c r="A77" s="45" t="str">
        <x:v>2012-09</x:v>
      </x:c>
      <x:c r="B77" s="45" t="n">
        <x:v>2012</x:v>
      </x:c>
      <x:c r="C77" s="45" t="str">
        <x:v>馬英九</x:v>
      </x:c>
      <x:c r="D77" s="45" t="str">
        <x:v>兩岸</x:v>
      </x:c>
      <x:c r="E77" s="46" t="str">
        <x:v>換言之，二十年來兩岸的憲法定位就是「一個中華民國，兩個地區」，歷經3位總統，從未改變。</x:v>
      </x:c>
      <x:c r="F77" s="47" t="str">
        <x:v>兩岸關係</x:v>
      </x:c>
      <x:c r="G77" s="47" t="str">
        <x:v>中性／背景</x:v>
      </x:c>
      <x:c r="H77" s="47" t="str"/>
      <x:c r="I77" s="47" t="str">
        <x:v>歷史、身分或政策背景</x:v>
      </x:c>
      <x:c r="J77" s="47" t="str">
        <x:v>九二共識；和平發展</x:v>
      </x:c>
      <x:c r="K77" s="47" t="str">
        <x:v>部分</x:v>
      </x:c>
      <x:c r="L77" s="46" t="str">
        <x:v>已逐句初步編碼；可依研究問題調整</x:v>
      </x:c>
      <x:c r="M77" s="48" t="str">
        <x:v>https://www.president.gov.tw/NEWS/16612</x:v>
      </x:c>
    </x:row>
    <x:row r="78" ht="54" customHeight="1">
      <x:c r="A78" s="45" t="str">
        <x:v>2012-10</x:v>
      </x:c>
      <x:c r="B78" s="45" t="n">
        <x:v>2012</x:v>
      </x:c>
      <x:c r="C78" s="45" t="str">
        <x:v>馬英九</x:v>
      </x:c>
      <x:c r="D78" s="45" t="str">
        <x:v>兩岸</x:v>
      </x:c>
      <x:c r="E78" s="46" t="str">
        <x:v>兩岸之間應該要正視這個現實，求同存異，建立「互不承認主權、互不否認治權」的共識，雙方才能放心向前走。</x:v>
      </x:c>
      <x:c r="F78" s="47" t="str">
        <x:v>兩岸關係</x:v>
      </x:c>
      <x:c r="G78" s="47" t="str">
        <x:v>和解</x:v>
      </x:c>
      <x:c r="H78" s="47" t="str">
        <x:v>合作</x:v>
      </x:c>
      <x:c r="I78" s="47" t="str">
        <x:v>求同存異</x:v>
      </x:c>
      <x:c r="J78" s="47" t="str">
        <x:v>九二共識；和平發展</x:v>
      </x:c>
      <x:c r="K78" s="47" t="str">
        <x:v>是</x:v>
      </x:c>
      <x:c r="L78" s="46" t="str">
        <x:v>已逐句初步編碼；可依研究問題調整</x:v>
      </x:c>
      <x:c r="M78" s="48" t="str">
        <x:v>https://www.president.gov.tw/NEWS/16612</x:v>
      </x:c>
    </x:row>
    <x:row r="79" ht="54" customHeight="1">
      <x:c r="A79" s="45" t="str">
        <x:v>2012-11</x:v>
      </x:c>
      <x:c r="B79" s="45" t="n">
        <x:v>2012</x:v>
      </x:c>
      <x:c r="C79" s="45" t="str">
        <x:v>馬英九</x:v>
      </x:c>
      <x:c r="D79" s="45" t="str">
        <x:v>兩岸</x:v>
      </x:c>
      <x:c r="E79" s="46" t="str">
        <x:v>過去四年，我們依循「先急後緩、先易後難、先經後政」的原則，推動兩岸交流，不論是在經貿、交通、衛生、文化、教育、司法、金融等各方面，都創下歷史新高的紀錄。</x:v>
      </x:c>
      <x:c r="F79" s="47" t="str">
        <x:v>兩岸關係</x:v>
      </x:c>
      <x:c r="G79" s="47" t="str">
        <x:v>合作</x:v>
      </x:c>
      <x:c r="H79" s="47" t="str"/>
      <x:c r="I79" s="47" t="str">
        <x:v>交流、經貿</x:v>
      </x:c>
      <x:c r="J79" s="47" t="str">
        <x:v>九二共識；和平發展</x:v>
      </x:c>
      <x:c r="K79" s="47" t="str">
        <x:v>是</x:v>
      </x:c>
      <x:c r="L79" s="46" t="str">
        <x:v>已逐句初步編碼；可依研究問題調整</x:v>
      </x:c>
      <x:c r="M79" s="48" t="str">
        <x:v>https://www.president.gov.tw/NEWS/16612</x:v>
      </x:c>
    </x:row>
    <x:row r="80" ht="54" customHeight="1">
      <x:c r="A80" s="45" t="str">
        <x:v>2012-12</x:v>
      </x:c>
      <x:c r="B80" s="45" t="n">
        <x:v>2012</x:v>
      </x:c>
      <x:c r="C80" s="45" t="str">
        <x:v>馬英九</x:v>
      </x:c>
      <x:c r="D80" s="45" t="str">
        <x:v>兩岸</x:v>
      </x:c>
      <x:c r="E80" s="46" t="str">
        <x:v>未來四年，兩岸要開拓新的合作領域，繼續鞏固和平、擴大繁榮、深化互信。</x:v>
      </x:c>
      <x:c r="F80" s="47" t="str">
        <x:v>兩岸關係</x:v>
      </x:c>
      <x:c r="G80" s="47" t="str">
        <x:v>合作</x:v>
      </x:c>
      <x:c r="H80" s="47" t="str">
        <x:v>和解</x:v>
      </x:c>
      <x:c r="I80" s="47" t="str">
        <x:v>合作、和平、互信</x:v>
      </x:c>
      <x:c r="J80" s="47" t="str">
        <x:v>九二共識；和平發展</x:v>
      </x:c>
      <x:c r="K80" s="47" t="str">
        <x:v>是</x:v>
      </x:c>
      <x:c r="L80" s="46" t="str">
        <x:v>已逐句初步編碼；可依研究問題調整</x:v>
      </x:c>
      <x:c r="M80" s="48" t="str">
        <x:v>https://www.president.gov.tw/NEWS/16612</x:v>
      </x:c>
    </x:row>
    <x:row r="81" ht="54" customHeight="1">
      <x:c r="A81" s="45" t="str">
        <x:v>2012-13</x:v>
      </x:c>
      <x:c r="B81" s="45" t="n">
        <x:v>2012</x:v>
      </x:c>
      <x:c r="C81" s="45" t="str">
        <x:v>馬英九</x:v>
      </x:c>
      <x:c r="D81" s="45" t="str">
        <x:v>兩岸</x:v>
      </x:c>
      <x:c r="E81" s="46" t="str">
        <x:v>也期盼兩岸民間團體在民主、人權、法治、公民社會等領域，有更多機會交流與對話，為兩岸和平發展創造更有利的環境。</x:v>
      </x:c>
      <x:c r="F81" s="47" t="str">
        <x:v>兩岸關係</x:v>
      </x:c>
      <x:c r="G81" s="47" t="str">
        <x:v>合作</x:v>
      </x:c>
      <x:c r="H81" s="47" t="str">
        <x:v>和解</x:v>
      </x:c>
      <x:c r="I81" s="47" t="str">
        <x:v>交流、對話、和平</x:v>
      </x:c>
      <x:c r="J81" s="47" t="str">
        <x:v>九二共識；和平發展</x:v>
      </x:c>
      <x:c r="K81" s="47" t="str">
        <x:v>是</x:v>
      </x:c>
      <x:c r="L81" s="46" t="str">
        <x:v>已逐句初步編碼；可依研究問題調整</x:v>
      </x:c>
      <x:c r="M81" s="48" t="str">
        <x:v>https://www.president.gov.tw/NEWS/16612</x:v>
      </x:c>
    </x:row>
    <x:row r="82" ht="54" customHeight="1">
      <x:c r="A82" s="45" t="str">
        <x:v>2012-14</x:v>
      </x:c>
      <x:c r="B82" s="45" t="n">
        <x:v>2012</x:v>
      </x:c>
      <x:c r="C82" s="45" t="str">
        <x:v>馬英九</x:v>
      </x:c>
      <x:c r="D82" s="45" t="str">
        <x:v>兩岸</x:v>
      </x:c>
      <x:c r="E82" s="46" t="str">
        <x:v>兩岸人民同屬中華民族，都是炎黃子孫，擁有共同的血緣、歷史與文化，也都同樣尊崇國父孫中山先生。</x:v>
      </x:c>
      <x:c r="F82" s="47" t="str">
        <x:v>兩岸關係</x:v>
      </x:c>
      <x:c r="G82" s="47" t="str">
        <x:v>中性／背景</x:v>
      </x:c>
      <x:c r="H82" s="47" t="str"/>
      <x:c r="I82" s="47" t="str">
        <x:v>歷史、身分或政策背景</x:v>
      </x:c>
      <x:c r="J82" s="47" t="str">
        <x:v>九二共識；和平發展</x:v>
      </x:c>
      <x:c r="K82" s="47" t="str">
        <x:v>部分</x:v>
      </x:c>
      <x:c r="L82" s="46" t="str">
        <x:v>已逐句初步編碼；可依研究問題調整</x:v>
      </x:c>
      <x:c r="M82" s="48" t="str">
        <x:v>https://www.president.gov.tw/NEWS/16612</x:v>
      </x:c>
    </x:row>
    <x:row r="83" ht="54" customHeight="1">
      <x:c r="A83" s="45" t="str">
        <x:v>2012-15</x:v>
      </x:c>
      <x:c r="B83" s="45" t="n">
        <x:v>2012</x:v>
      </x:c>
      <x:c r="C83" s="45" t="str">
        <x:v>馬英九</x:v>
      </x:c>
      <x:c r="D83" s="45" t="str">
        <x:v>中國、兩岸</x:v>
      </x:c>
      <x:c r="E83" s="46" t="str">
        <x:v>英九衷心期盼中國大陸的政治參與逐步開放，人權與法治日漸完善，公民社會自主成長，以進一步縮短兩岸人民的心理距離。</x:v>
      </x:c>
      <x:c r="F83" s="47" t="str">
        <x:v>中國大陸</x:v>
      </x:c>
      <x:c r="G83" s="47" t="str">
        <x:v>和解</x:v>
      </x:c>
      <x:c r="H83" s="47" t="str">
        <x:v>合作</x:v>
      </x:c>
      <x:c r="I83" s="47" t="str">
        <x:v>歷史、身分或政策背景</x:v>
      </x:c>
      <x:c r="J83" s="47" t="str">
        <x:v>九二共識；和平發展</x:v>
      </x:c>
      <x:c r="K83" s="47" t="str">
        <x:v>是</x:v>
      </x:c>
      <x:c r="L83" s="46" t="str">
        <x:v>已逐句初步編碼；可依研究問題調整</x:v>
      </x:c>
      <x:c r="M83" s="48" t="str">
        <x:v>https://www.president.gov.tw/NEWS/16612</x:v>
      </x:c>
    </x:row>
    <x:row r="84" ht="54" customHeight="1">
      <x:c r="A84" s="45" t="str">
        <x:v>2012-16</x:v>
      </x:c>
      <x:c r="B84" s="45" t="n">
        <x:v>2012</x:v>
      </x:c>
      <x:c r="C84" s="45" t="str">
        <x:v>馬英九</x:v>
      </x:c>
      <x:c r="D84" s="45" t="str">
        <x:v>兩岸</x:v>
      </x:c>
      <x:c r="E84" s="46" t="str">
        <x:v>事實證明，兩岸關係的進展與我們國際空間的擴大，不但不必相互衝突，甚至可以相輔相成。</x:v>
      </x:c>
      <x:c r="F84" s="47" t="str">
        <x:v>兩岸關係</x:v>
      </x:c>
      <x:c r="G84" s="47" t="str">
        <x:v>合作</x:v>
      </x:c>
      <x:c r="H84" s="47" t="str"/>
      <x:c r="I84" s="47" t="str">
        <x:v>歷史、身分或政策背景</x:v>
      </x:c>
      <x:c r="J84" s="47" t="str">
        <x:v>九二共識；和平發展</x:v>
      </x:c>
      <x:c r="K84" s="47" t="str">
        <x:v>是</x:v>
      </x:c>
      <x:c r="L84" s="46" t="str">
        <x:v>已逐句初步編碼；可依研究問題調整</x:v>
      </x:c>
      <x:c r="M84" s="48" t="str">
        <x:v>https://www.president.gov.tw/NEWS/16612</x:v>
      </x:c>
    </x:row>
    <x:row r="85" ht="54" customHeight="1">
      <x:c r="A85" s="45" t="str">
        <x:v>2012-17</x:v>
      </x:c>
      <x:c r="B85" s="45" t="n">
        <x:v>2012</x:v>
      </x:c>
      <x:c r="C85" s="45" t="str">
        <x:v>馬英九</x:v>
      </x:c>
      <x:c r="D85" s="45" t="str">
        <x:v>兩岸</x:v>
      </x:c>
      <x:c r="E85" s="46" t="str">
        <x:v>我們也希望在國際非政府組織中，兩岸能彼此包容、相互協助，讓這個良性循環的模式發揮更大的正面效益。</x:v>
      </x:c>
      <x:c r="F85" s="47" t="str">
        <x:v>兩岸關係</x:v>
      </x:c>
      <x:c r="G85" s="47" t="str">
        <x:v>合作</x:v>
      </x:c>
      <x:c r="H85" s="47" t="str"/>
      <x:c r="I85" s="47" t="str">
        <x:v>相互協助</x:v>
      </x:c>
      <x:c r="J85" s="47" t="str">
        <x:v>九二共識；和平發展</x:v>
      </x:c>
      <x:c r="K85" s="47" t="str">
        <x:v>是</x:v>
      </x:c>
      <x:c r="L85" s="46" t="str">
        <x:v>已逐句初步編碼；可依研究問題調整</x:v>
      </x:c>
      <x:c r="M85" s="48" t="str">
        <x:v>https://www.president.gov.tw/NEWS/16612</x:v>
      </x:c>
    </x:row>
    <x:row r="86" ht="54" customHeight="1">
      <x:c r="A86" s="45" t="str">
        <x:v>2012-18</x:v>
      </x:c>
      <x:c r="B86" s="45" t="n">
        <x:v>2012</x:v>
      </x:c>
      <x:c r="C86" s="45" t="str">
        <x:v>馬英九</x:v>
      </x:c>
      <x:c r="D86" s="45" t="str">
        <x:v>兩岸</x:v>
      </x:c>
      <x:c r="E86" s="46" t="str">
        <x:v>這讓我們未來擁有適當的防衛力量，使政府與人民更有信心與意願，繼續穩健發展兩岸關係。</x:v>
      </x:c>
      <x:c r="F86" s="47" t="str">
        <x:v>兩岸關係</x:v>
      </x:c>
      <x:c r="G86" s="47" t="str">
        <x:v>防衛</x:v>
      </x:c>
      <x:c r="H86" s="47" t="str">
        <x:v>和解</x:v>
      </x:c>
      <x:c r="I86" s="47" t="str">
        <x:v>防衛</x:v>
      </x:c>
      <x:c r="J86" s="47" t="str">
        <x:v>九二共識；和平發展</x:v>
      </x:c>
      <x:c r="K86" s="47" t="str">
        <x:v>是</x:v>
      </x:c>
      <x:c r="L86" s="46" t="str">
        <x:v>已逐句初步編碼；可依研究問題調整</x:v>
      </x:c>
      <x:c r="M86" s="48" t="str">
        <x:v>https://www.president.gov.tw/NEWS/16612</x:v>
      </x:c>
    </x:row>
    <x:row r="87" ht="54" customHeight="1">
      <x:c r="A87" s="45" t="str">
        <x:v>2016-01</x:v>
      </x:c>
      <x:c r="B87" s="45" t="n">
        <x:v>2016</x:v>
      </x:c>
      <x:c r="C87" s="45" t="str">
        <x:v>蔡英文</x:v>
      </x:c>
      <x:c r="D87" s="45" t="str">
        <x:v>兩岸</x:v>
      </x:c>
      <x:c r="E87" s="46" t="str">
        <x:v>第四、區域的和平穩定發展及兩岸關係新政府要承擔的第四件事情，是區域的和平穩定與發展，以及妥善處理兩岸關係。</x:v>
      </x:c>
      <x:c r="F87" s="47" t="str">
        <x:v>兩岸關係</x:v>
      </x:c>
      <x:c r="G87" s="47" t="str">
        <x:v>中性／背景</x:v>
      </x:c>
      <x:c r="H87" s="47" t="str"/>
      <x:c r="I87" s="47" t="str">
        <x:v>歷史、身分或政策背景</x:v>
      </x:c>
      <x:c r="J87" s="47" t="str">
        <x:v>維持現狀；延續對話機制</x:v>
      </x:c>
      <x:c r="K87" s="47" t="str">
        <x:v>部分</x:v>
      </x:c>
      <x:c r="L87" s="46" t="str">
        <x:v>已逐句初步編碼；可依研究問題調整</x:v>
      </x:c>
      <x:c r="M87" s="48" t="str">
        <x:v>https://www.president.gov.tw/NEWS/20444</x:v>
      </x:c>
    </x:row>
    <x:row r="88" ht="54" customHeight="1">
      <x:c r="A88" s="45" t="str">
        <x:v>2016-02</x:v>
      </x:c>
      <x:c r="B88" s="45" t="n">
        <x:v>2016</x:v>
      </x:c>
      <x:c r="C88" s="45" t="str">
        <x:v>蔡英文</x:v>
      </x:c>
      <x:c r="D88" s="45" t="str">
        <x:v>對岸</x:v>
      </x:c>
      <x:c r="E88" s="46" t="str">
        <x:v>為此，我們也願意和對岸，就共同參與區域發展的相關議題，坦誠交換意見，尋求各種合作與協力的可能性。</x:v>
      </x:c>
      <x:c r="F88" s="47" t="str">
        <x:v>對岸／北京</x:v>
      </x:c>
      <x:c r="G88" s="47" t="str">
        <x:v>合作</x:v>
      </x:c>
      <x:c r="H88" s="47" t="str">
        <x:v>和解</x:v>
      </x:c>
      <x:c r="I88" s="47" t="str">
        <x:v>合作、協力</x:v>
      </x:c>
      <x:c r="J88" s="47" t="str">
        <x:v>維持現狀；延續對話機制</x:v>
      </x:c>
      <x:c r="K88" s="47" t="str">
        <x:v>是</x:v>
      </x:c>
      <x:c r="L88" s="46" t="str">
        <x:v>已逐句初步編碼；可依研究問題調整</x:v>
      </x:c>
      <x:c r="M88" s="48" t="str">
        <x:v>https://www.president.gov.tw/NEWS/20444</x:v>
      </x:c>
    </x:row>
    <x:row r="89" ht="54" customHeight="1">
      <x:c r="A89" s="45" t="str">
        <x:v>2016-03</x:v>
      </x:c>
      <x:c r="B89" s="45" t="n">
        <x:v>2016</x:v>
      </x:c>
      <x:c r="C89" s="45" t="str">
        <x:v>蔡英文</x:v>
      </x:c>
      <x:c r="D89" s="45" t="str">
        <x:v>兩岸</x:v>
      </x:c>
      <x:c r="E89" s="46" t="str">
        <x:v>在積極發展經濟的同時，亞太地區的安全情勢也變得越來越複雜，而兩岸關係，也成為建構區域和平與集體安全的重要一環。</x:v>
      </x:c>
      <x:c r="F89" s="47" t="str">
        <x:v>兩岸關係</x:v>
      </x:c>
      <x:c r="G89" s="47" t="str">
        <x:v>防衛</x:v>
      </x:c>
      <x:c r="H89" s="47" t="str"/>
      <x:c r="I89" s="47" t="str">
        <x:v>安全</x:v>
      </x:c>
      <x:c r="J89" s="47" t="str">
        <x:v>維持現狀；延續對話機制</x:v>
      </x:c>
      <x:c r="K89" s="47" t="str">
        <x:v>是</x:v>
      </x:c>
      <x:c r="L89" s="46" t="str">
        <x:v>已逐句初步編碼；可依研究問題調整</x:v>
      </x:c>
      <x:c r="M89" s="48" t="str">
        <x:v>https://www.president.gov.tw/NEWS/20444</x:v>
      </x:c>
    </x:row>
    <x:row r="90" ht="54" customHeight="1">
      <x:c r="A90" s="45" t="str">
        <x:v>2016-04</x:v>
      </x:c>
      <x:c r="B90" s="45" t="n">
        <x:v>2016</x:v>
      </x:c>
      <x:c r="C90" s="45" t="str">
        <x:v>蔡英文</x:v>
      </x:c>
      <x:c r="D90" s="45" t="str">
        <x:v>兩岸</x:v>
      </x:c>
      <x:c r="E90" s="46" t="str">
        <x:v>這個建構的進程，臺灣會做一個「和平的堅定維護者」，積極參與，絕不缺席；我們也將致力維持兩岸關係的和平穩定；我們更會努力促成內部和解，強化民主機制，凝聚共識，形成一致對外的立場。</x:v>
      </x:c>
      <x:c r="F90" s="47" t="str">
        <x:v>兩岸關係</x:v>
      </x:c>
      <x:c r="G90" s="47" t="str">
        <x:v>防衛</x:v>
      </x:c>
      <x:c r="H90" s="47" t="str">
        <x:v>和解</x:v>
      </x:c>
      <x:c r="I90" s="47" t="str">
        <x:v>一致對外、和解、和平、穩定</x:v>
      </x:c>
      <x:c r="J90" s="47" t="str">
        <x:v>維持現狀；延續對話機制</x:v>
      </x:c>
      <x:c r="K90" s="47" t="str">
        <x:v>是</x:v>
      </x:c>
      <x:c r="L90" s="46" t="str">
        <x:v>已逐句初步編碼；可依研究問題調整</x:v>
      </x:c>
      <x:c r="M90" s="48" t="str">
        <x:v>https://www.president.gov.tw/NEWS/20444</x:v>
      </x:c>
    </x:row>
    <x:row r="91" ht="54" customHeight="1">
      <x:c r="A91" s="45" t="str">
        <x:v>2016-05</x:v>
      </x:c>
      <x:c r="B91" s="45" t="n">
        <x:v>2016</x:v>
      </x:c>
      <x:c r="C91" s="45" t="str">
        <x:v>蔡英文</x:v>
      </x:c>
      <x:c r="D91" s="45" t="str">
        <x:v>兩岸</x:v>
      </x:c>
      <x:c r="E91" s="46" t="str">
        <x:v>兩岸之間的對話與溝通，我們也將努力維持現有的機制。</x:v>
      </x:c>
      <x:c r="F91" s="47" t="str">
        <x:v>兩岸關係</x:v>
      </x:c>
      <x:c r="G91" s="47" t="str">
        <x:v>和解</x:v>
      </x:c>
      <x:c r="H91" s="47" t="str"/>
      <x:c r="I91" s="47" t="str">
        <x:v>對話、溝通</x:v>
      </x:c>
      <x:c r="J91" s="47" t="str">
        <x:v>維持現狀；延續對話機制</x:v>
      </x:c>
      <x:c r="K91" s="47" t="str">
        <x:v>是</x:v>
      </x:c>
      <x:c r="L91" s="46" t="str">
        <x:v>已逐句初步編碼；可依研究問題調整</x:v>
      </x:c>
      <x:c r="M91" s="48" t="str">
        <x:v>https://www.president.gov.tw/NEWS/20444</x:v>
      </x:c>
    </x:row>
    <x:row r="92" ht="54" customHeight="1">
      <x:c r="A92" s="45" t="str">
        <x:v>2016-06</x:v>
      </x:c>
      <x:c r="B92" s="45" t="n">
        <x:v>2016</x:v>
      </x:c>
      <x:c r="C92" s="45" t="str">
        <x:v>蔡英文</x:v>
      </x:c>
      <x:c r="D92" s="45" t="str">
        <x:v>兩岸</x:v>
      </x:c>
      <x:c r="E92" s="46" t="str">
        <x:v>1992年兩岸兩會秉持相互諒解、求同存異的政治思維，進行溝通協商，達成若干的共同認知與諒解，我尊重這個歷史事實。</x:v>
      </x:c>
      <x:c r="F92" s="47" t="str">
        <x:v>兩岸關係</x:v>
      </x:c>
      <x:c r="G92" s="47" t="str">
        <x:v>和解</x:v>
      </x:c>
      <x:c r="H92" s="47" t="str">
        <x:v>合作</x:v>
      </x:c>
      <x:c r="I92" s="47" t="str">
        <x:v>求同存異、溝通、相互諒解、協商</x:v>
      </x:c>
      <x:c r="J92" s="47" t="str">
        <x:v>維持現狀；延續對話機制</x:v>
      </x:c>
      <x:c r="K92" s="47" t="str">
        <x:v>是</x:v>
      </x:c>
      <x:c r="L92" s="46" t="str">
        <x:v>已逐句初步編碼；可依研究問題調整</x:v>
      </x:c>
      <x:c r="M92" s="48" t="str">
        <x:v>https://www.president.gov.tw/NEWS/20444</x:v>
      </x:c>
    </x:row>
    <x:row r="93" ht="54" customHeight="1">
      <x:c r="A93" s="45" t="str">
        <x:v>2016-07</x:v>
      </x:c>
      <x:c r="B93" s="45" t="n">
        <x:v>2016</x:v>
      </x:c>
      <x:c r="C93" s="45" t="str">
        <x:v>蔡英文</x:v>
      </x:c>
      <x:c r="D93" s="45" t="str">
        <x:v>兩岸</x:v>
      </x:c>
      <x:c r="E93" s="46" t="str">
        <x:v>92年之後，20多年來雙方交流、協商所累積形成的現狀與成果，兩岸都應該共同珍惜與維護，並在這個既有的事實與政治基礎上，持續推動兩岸關係和平穩定發展；新政府會依據中華民國憲法、兩岸人民關係條例及其他相關法律，處理兩岸事務。</x:v>
      </x:c>
      <x:c r="F93" s="47" t="str">
        <x:v>兩岸關係</x:v>
      </x:c>
      <x:c r="G93" s="47" t="str">
        <x:v>防衛</x:v>
      </x:c>
      <x:c r="H93" s="47" t="str">
        <x:v>和解、合作</x:v>
      </x:c>
      <x:c r="I93" s="47" t="str">
        <x:v>憲法、和平、穩定、交流、協商</x:v>
      </x:c>
      <x:c r="J93" s="47" t="str">
        <x:v>維持現狀；延續對話機制</x:v>
      </x:c>
      <x:c r="K93" s="47" t="str">
        <x:v>是</x:v>
      </x:c>
      <x:c r="L93" s="46" t="str">
        <x:v>已逐句初步編碼；可依研究問題調整</x:v>
      </x:c>
      <x:c r="M93" s="48" t="str">
        <x:v>https://www.president.gov.tw/NEWS/20444</x:v>
      </x:c>
    </x:row>
    <x:row r="94" ht="54" customHeight="1">
      <x:c r="A94" s="45" t="str">
        <x:v>2016-08</x:v>
      </x:c>
      <x:c r="B94" s="45" t="n">
        <x:v>2016</x:v>
      </x:c>
      <x:c r="C94" s="45" t="str">
        <x:v>蔡英文</x:v>
      </x:c>
      <x:c r="D94" s="45" t="str">
        <x:v>兩岸</x:v>
      </x:c>
      <x:c r="E94" s="46" t="str">
        <x:v>兩岸的兩個執政黨應該要放下歷史包袱，展開良性對話，造福兩岸人民。</x:v>
      </x:c>
      <x:c r="F94" s="47" t="str">
        <x:v>兩岸關係</x:v>
      </x:c>
      <x:c r="G94" s="47" t="str">
        <x:v>和解</x:v>
      </x:c>
      <x:c r="H94" s="47" t="str">
        <x:v>合作</x:v>
      </x:c>
      <x:c r="I94" s="47" t="str">
        <x:v>對話</x:v>
      </x:c>
      <x:c r="J94" s="47" t="str">
        <x:v>維持現狀；延續對話機制</x:v>
      </x:c>
      <x:c r="K94" s="47" t="str">
        <x:v>是</x:v>
      </x:c>
      <x:c r="L94" s="46" t="str">
        <x:v>已逐句初步編碼；可依研究問題調整</x:v>
      </x:c>
      <x:c r="M94" s="48" t="str">
        <x:v>https://www.president.gov.tw/NEWS/20444</x:v>
      </x:c>
    </x:row>
    <x:row r="95" ht="54" customHeight="1">
      <x:c r="A95" s="45" t="str">
        <x:v>2016-09</x:v>
      </x:c>
      <x:c r="B95" s="45" t="n">
        <x:v>2016</x:v>
      </x:c>
      <x:c r="C95" s="45" t="str">
        <x:v>蔡英文</x:v>
      </x:c>
      <x:c r="D95" s="45" t="str">
        <x:v>兩岸</x:v>
      </x:c>
      <x:c r="E95" s="46" t="str">
        <x:v>我所講的既有政治基礎，包含幾個關鍵元素，第一，1992年兩岸兩會會談的歷史事實與求同存異的共同認知，這是歷史事實；第二，中華民國現行憲政體制；第三，兩岸過去20多年來協商和交流互動的成果；第四，臺灣民主原則及普遍民意。</x:v>
      </x:c>
      <x:c r="F95" s="47" t="str">
        <x:v>兩岸關係</x:v>
      </x:c>
      <x:c r="G95" s="47" t="str">
        <x:v>中性／背景</x:v>
      </x:c>
      <x:c r="H95" s="47" t="str"/>
      <x:c r="I95" s="47" t="str">
        <x:v>歷史、身分或政策背景</x:v>
      </x:c>
      <x:c r="J95" s="47" t="str">
        <x:v>維持現狀；延續對話機制</x:v>
      </x:c>
      <x:c r="K95" s="47" t="str">
        <x:v>部分</x:v>
      </x:c>
      <x:c r="L95" s="46" t="str">
        <x:v>已逐句初步編碼；可依研究問題調整</x:v>
      </x:c>
      <x:c r="M95" s="48" t="str">
        <x:v>https://www.president.gov.tw/NEWS/20444</x:v>
      </x:c>
    </x:row>
    <x:row r="96" ht="54" customHeight="1">
      <x:c r="A96" s="45" t="str">
        <x:v>2020-01</x:v>
      </x:c>
      <x:c r="B96" s="45" t="n">
        <x:v>2020</x:v>
      </x:c>
      <x:c r="C96" s="45" t="str">
        <x:v>蔡英文</x:v>
      </x:c>
      <x:c r="D96" s="45" t="str">
        <x:v>兩岸</x:v>
      </x:c>
      <x:c r="E96" s="46" t="str">
        <x:v>(三)國家安全：國防事務改革、積極參與國際、兩岸和平穩定一個更好的國家，也必須重視國家安全。</x:v>
      </x:c>
      <x:c r="F96" s="47" t="str">
        <x:v>兩岸關係</x:v>
      </x:c>
      <x:c r="G96" s="47" t="str">
        <x:v>防衛</x:v>
      </x:c>
      <x:c r="H96" s="47" t="str"/>
      <x:c r="I96" s="47" t="str">
        <x:v>安全、國防</x:v>
      </x:c>
      <x:c r="J96" s="47" t="str">
        <x:v>維持現狀；拒絕一國兩制</x:v>
      </x:c>
      <x:c r="K96" s="47" t="str">
        <x:v>是</x:v>
      </x:c>
      <x:c r="L96" s="46" t="str">
        <x:v>已逐句初步編碼；可依研究問題調整</x:v>
      </x:c>
      <x:c r="M96" s="48" t="str">
        <x:v>https://www.president.gov.tw/News/25319</x:v>
      </x:c>
    </x:row>
    <x:row r="97" ht="54" customHeight="1">
      <x:c r="A97" s="45" t="str">
        <x:v>2020-02</x:v>
      </x:c>
      <x:c r="B97" s="45" t="n">
        <x:v>2020</x:v>
      </x:c>
      <x:c r="C97" s="45" t="str">
        <x:v>蔡英文</x:v>
      </x:c>
      <x:c r="D97" s="45" t="str">
        <x:v>兩岸</x:v>
      </x:c>
      <x:c r="E97" s="46" t="str">
        <x:v>過去四年，我們推動國防事務改革、積極參與國際，維持兩岸關係的和平穩定，希望讓台灣在印太地區的和平、穩定與繁榮，扮演更積極的角色。</x:v>
      </x:c>
      <x:c r="F97" s="47" t="str">
        <x:v>兩岸關係</x:v>
      </x:c>
      <x:c r="G97" s="47" t="str">
        <x:v>防衛</x:v>
      </x:c>
      <x:c r="H97" s="47" t="str">
        <x:v>和解</x:v>
      </x:c>
      <x:c r="I97" s="47" t="str">
        <x:v>國防、和平、穩定</x:v>
      </x:c>
      <x:c r="J97" s="47" t="str">
        <x:v>維持現狀；拒絕一國兩制</x:v>
      </x:c>
      <x:c r="K97" s="47" t="str">
        <x:v>是</x:v>
      </x:c>
      <x:c r="L97" s="46" t="str">
        <x:v>已逐句初步編碼；可依研究問題調整</x:v>
      </x:c>
      <x:c r="M97" s="48" t="str">
        <x:v>https://www.president.gov.tw/News/25319</x:v>
      </x:c>
    </x:row>
    <x:row r="98" ht="54" customHeight="1">
      <x:c r="A98" s="45" t="str">
        <x:v>2020-03</x:v>
      </x:c>
      <x:c r="B98" s="45" t="n">
        <x:v>2020</x:v>
      </x:c>
      <x:c r="C98" s="45" t="str">
        <x:v>蔡英文</x:v>
      </x:c>
      <x:c r="D98" s="45" t="str">
        <x:v>兩岸、對岸</x:v>
      </x:c>
      <x:c r="E98" s="46" t="str">
        <x:v>3、和平穩定的兩岸關係面對複雜多變的兩岸情勢，過去四年，我們盡力為兩岸和平穩定，做出最大的努力，也獲得國際社會的肯定；我們會持續努力，也願意跟對岸展開對話，為區域安全，做出更具體的貢獻。</x:v>
      </x:c>
      <x:c r="F98" s="47" t="str">
        <x:v>對岸／北京</x:v>
      </x:c>
      <x:c r="G98" s="47" t="str">
        <x:v>和解</x:v>
      </x:c>
      <x:c r="H98" s="47" t="str">
        <x:v>防衛</x:v>
      </x:c>
      <x:c r="I98" s="47" t="str">
        <x:v>對話、和平、穩定、安全</x:v>
      </x:c>
      <x:c r="J98" s="47" t="str">
        <x:v>維持現狀；拒絕一國兩制</x:v>
      </x:c>
      <x:c r="K98" s="47" t="str">
        <x:v>是</x:v>
      </x:c>
      <x:c r="L98" s="46" t="str">
        <x:v>已逐句初步編碼；可依研究問題調整</x:v>
      </x:c>
      <x:c r="M98" s="48" t="str">
        <x:v>https://www.president.gov.tw/News/25319</x:v>
      </x:c>
    </x:row>
    <x:row r="99" ht="54" customHeight="1">
      <x:c r="A99" s="45" t="str">
        <x:v>2020-04</x:v>
      </x:c>
      <x:c r="B99" s="45" t="n">
        <x:v>2020</x:v>
      </x:c>
      <x:c r="C99" s="45" t="str">
        <x:v>蔡英文</x:v>
      </x:c>
      <x:c r="D99" s="45" t="str">
        <x:v>北京</x:v>
      </x:c>
      <x:c r="E99" s="46" t="str">
        <x:v>我們不會接受北京當局，以「一國兩制」矮化台灣，破壞台海的現狀，這是我們堅定不移的原則。</x:v>
      </x:c>
      <x:c r="F99" s="47" t="str">
        <x:v>北京當局</x:v>
      </x:c>
      <x:c r="G99" s="47" t="str">
        <x:v>威脅</x:v>
      </x:c>
      <x:c r="H99" s="47" t="str">
        <x:v>防衛</x:v>
      </x:c>
      <x:c r="I99" s="47" t="str">
        <x:v>矮化、破壞</x:v>
      </x:c>
      <x:c r="J99" s="47" t="str">
        <x:v>維持現狀；拒絕一國兩制</x:v>
      </x:c>
      <x:c r="K99" s="47" t="str">
        <x:v>是</x:v>
      </x:c>
      <x:c r="L99" s="46" t="str">
        <x:v>已逐句初步編碼；可依研究問題調整</x:v>
      </x:c>
      <x:c r="M99" s="48" t="str">
        <x:v>https://www.president.gov.tw/News/25319</x:v>
      </x:c>
    </x:row>
    <x:row r="100" ht="54" customHeight="1">
      <x:c r="A100" s="45" t="str">
        <x:v>2020-05</x:v>
      </x:c>
      <x:c r="B100" s="45" t="n">
        <x:v>2020</x:v>
      </x:c>
      <x:c r="C100" s="45" t="str">
        <x:v>蔡英文</x:v>
      </x:c>
      <x:c r="D100" s="45" t="str">
        <x:v>兩岸</x:v>
      </x:c>
      <x:c r="E100" s="46" t="str">
        <x:v>我們也會持續遵循中華民國憲法，與兩岸人民關係條例，來處理兩岸事務。</x:v>
      </x:c>
      <x:c r="F100" s="47" t="str">
        <x:v>兩岸關係</x:v>
      </x:c>
      <x:c r="G100" s="47" t="str">
        <x:v>防衛</x:v>
      </x:c>
      <x:c r="H100" s="47" t="str"/>
      <x:c r="I100" s="47" t="str">
        <x:v>憲法</x:v>
      </x:c>
      <x:c r="J100" s="47" t="str">
        <x:v>維持現狀；拒絕一國兩制</x:v>
      </x:c>
      <x:c r="K100" s="47" t="str">
        <x:v>是</x:v>
      </x:c>
      <x:c r="L100" s="46" t="str">
        <x:v>已逐句初步編碼；可依研究問題調整</x:v>
      </x:c>
      <x:c r="M100" s="48" t="str">
        <x:v>https://www.president.gov.tw/News/25319</x:v>
      </x:c>
    </x:row>
    <x:row r="101" ht="54" customHeight="1">
      <x:c r="A101" s="45" t="str">
        <x:v>2020-06</x:v>
      </x:c>
      <x:c r="B101" s="45" t="n">
        <x:v>2020</x:v>
      </x:c>
      <x:c r="C101" s="45" t="str">
        <x:v>蔡英文</x:v>
      </x:c>
      <x:c r="D101" s="45" t="str">
        <x:v>兩岸</x:v>
      </x:c>
      <x:c r="E101" s="46" t="str">
        <x:v>兩岸關係正處於歷史的轉折點，雙方都有責任，謀求長遠相處之道，避免對立與分歧的擴大。</x:v>
      </x:c>
      <x:c r="F101" s="47" t="str">
        <x:v>兩岸關係</x:v>
      </x:c>
      <x:c r="G101" s="47" t="str">
        <x:v>和解</x:v>
      </x:c>
      <x:c r="H101" s="47" t="str"/>
      <x:c r="I101" s="47" t="str">
        <x:v>相處</x:v>
      </x:c>
      <x:c r="J101" s="47" t="str">
        <x:v>維持現狀；拒絕一國兩制</x:v>
      </x:c>
      <x:c r="K101" s="47" t="str">
        <x:v>是</x:v>
      </x:c>
      <x:c r="L101" s="46" t="str">
        <x:v>已逐句初步編碼；可依研究問題調整</x:v>
      </x:c>
      <x:c r="M101" s="48" t="str">
        <x:v>https://www.president.gov.tw/News/25319</x:v>
      </x:c>
    </x:row>
    <x:row r="102" ht="54" customHeight="1">
      <x:c r="A102" s="45" t="str">
        <x:v>2020-07</x:v>
      </x:c>
      <x:c r="B102" s="45" t="n">
        <x:v>2020</x:v>
      </x:c>
      <x:c r="C102" s="45" t="str">
        <x:v>蔡英文</x:v>
      </x:c>
      <x:c r="D102" s="45" t="str">
        <x:v>兩岸、對岸</x:v>
      </x:c>
      <x:c r="E102" s="46" t="str">
        <x:v>在變局之中，我會堅持原則，並秉持解決問題的開放態度，負起責任，我也期盼對岸領導人，能承擔起相對的責任，共同穩定兩岸關係的長遠發展。</x:v>
      </x:c>
      <x:c r="F102" s="47" t="str">
        <x:v>對岸／北京</x:v>
      </x:c>
      <x:c r="G102" s="47" t="str">
        <x:v>防衛</x:v>
      </x:c>
      <x:c r="H102" s="47" t="str">
        <x:v>和解</x:v>
      </x:c>
      <x:c r="I102" s="47" t="str">
        <x:v>堅持原則、穩定</x:v>
      </x:c>
      <x:c r="J102" s="47" t="str">
        <x:v>維持現狀；拒絕一國兩制</x:v>
      </x:c>
      <x:c r="K102" s="47" t="str">
        <x:v>是</x:v>
      </x:c>
      <x:c r="L102" s="46" t="str">
        <x:v>已逐句初步編碼；可依研究問題調整</x:v>
      </x:c>
      <x:c r="M102" s="48" t="str">
        <x:v>https://www.president.gov.tw/News/25319</x:v>
      </x:c>
    </x:row>
    <x:row r="103" ht="54" customHeight="1">
      <x:c r="A103" s="45" t="str">
        <x:v>2024-01</x:v>
      </x:c>
      <x:c r="B103" s="45" t="n">
        <x:v>2024</x:v>
      </x:c>
      <x:c r="C103" s="45" t="str">
        <x:v>賴清德</x:v>
      </x:c>
      <x:c r="D103" s="45" t="str">
        <x:v>中國</x:v>
      </x:c>
      <x:c r="E103" s="46" t="str">
        <x:v>如今，俄烏戰爭和以哈戰爭，持續衝擊全世界，中國的軍事行動以及灰色脅迫，也被視為全球和平穩定最大的戰略挑戰。</x:v>
      </x:c>
      <x:c r="F103" s="47" t="str">
        <x:v>中國／中華人民共和國</x:v>
      </x:c>
      <x:c r="G103" s="47" t="str">
        <x:v>威脅</x:v>
      </x:c>
      <x:c r="H103" s="47" t="str"/>
      <x:c r="I103" s="47" t="str">
        <x:v>軍事、脅迫</x:v>
      </x:c>
      <x:c r="J103" s="47" t="str">
        <x:v>維持現狀；以嚇阻追求和平</x:v>
      </x:c>
      <x:c r="K103" s="47" t="str">
        <x:v>是</x:v>
      </x:c>
      <x:c r="L103" s="46" t="str">
        <x:v>已逐句初步編碼；可依研究問題調整</x:v>
      </x:c>
      <x:c r="M103" s="48" t="str">
        <x:v>https://www.president.gov.tw/Page/700</x:v>
      </x:c>
    </x:row>
    <x:row r="104" ht="54" customHeight="1">
      <x:c r="A104" s="45" t="str">
        <x:v>2024-02</x:v>
      </x:c>
      <x:c r="B104" s="45" t="n">
        <x:v>2024</x:v>
      </x:c>
      <x:c r="C104" s="45" t="str">
        <x:v>賴清德</x:v>
      </x:c>
      <x:c r="D104" s="45" t="str">
        <x:v>兩岸</x:v>
      </x:c>
      <x:c r="E104" s="46" t="str">
        <x:v>由於兩岸的未來，對世界的局勢有決定性的影響，承接民主化臺灣的我們，將是和平的舵手，新政府將秉持「四個堅持」，不卑不亢，維持現狀。</x:v>
      </x:c>
      <x:c r="F104" s="47" t="str">
        <x:v>兩岸關係</x:v>
      </x:c>
      <x:c r="G104" s="47" t="str">
        <x:v>防衛</x:v>
      </x:c>
      <x:c r="H104" s="47" t="str">
        <x:v>和解</x:v>
      </x:c>
      <x:c r="I104" s="47" t="str">
        <x:v>維持現狀、和平</x:v>
      </x:c>
      <x:c r="J104" s="47" t="str">
        <x:v>維持現狀；以嚇阻追求和平</x:v>
      </x:c>
      <x:c r="K104" s="47" t="str">
        <x:v>是</x:v>
      </x:c>
      <x:c r="L104" s="46" t="str">
        <x:v>已逐句初步編碼；可依研究問題調整</x:v>
      </x:c>
      <x:c r="M104" s="48" t="str">
        <x:v>https://www.president.gov.tw/Page/700</x:v>
      </x:c>
    </x:row>
    <x:row r="105" ht="54" customHeight="1">
      <x:c r="A105" s="45" t="str">
        <x:v>2024-03</x:v>
      </x:c>
      <x:c r="B105" s="45" t="n">
        <x:v>2024</x:v>
      </x:c>
      <x:c r="C105" s="45" t="str">
        <x:v>賴清德</x:v>
      </x:c>
      <x:c r="D105" s="45" t="str">
        <x:v>中國</x:v>
      </x:c>
      <x:c r="E105" s="46" t="str">
        <x:v>我也要呼籲中國，停止對臺灣文攻武嚇，一起和臺灣承擔全球的責任，致力於維持臺海及區域的和平穩定，確保全球免於戰爭的恐懼。</x:v>
      </x:c>
      <x:c r="F105" s="47" t="str">
        <x:v>中國／中華人民共和國</x:v>
      </x:c>
      <x:c r="G105" s="47" t="str">
        <x:v>威脅</x:v>
      </x:c>
      <x:c r="H105" s="47" t="str">
        <x:v>和解</x:v>
      </x:c>
      <x:c r="I105" s="47" t="str">
        <x:v>文攻武嚇、和平、穩定</x:v>
      </x:c>
      <x:c r="J105" s="47" t="str">
        <x:v>維持現狀；以嚇阻追求和平</x:v>
      </x:c>
      <x:c r="K105" s="47" t="str">
        <x:v>是</x:v>
      </x:c>
      <x:c r="L105" s="46" t="str">
        <x:v>已逐句初步編碼；可依研究問題調整</x:v>
      </x:c>
      <x:c r="M105" s="48" t="str">
        <x:v>https://www.president.gov.tw/Page/700</x:v>
      </x:c>
    </x:row>
    <x:row r="106" ht="54" customHeight="1">
      <x:c r="A106" s="45" t="str">
        <x:v>2024-04</x:v>
      </x:c>
      <x:c r="B106" s="45" t="n">
        <x:v>2024</x:v>
      </x:c>
      <x:c r="C106" s="45" t="str">
        <x:v>賴清德</x:v>
      </x:c>
      <x:c r="D106" s="45" t="str">
        <x:v>中國</x:v>
      </x:c>
      <x:c r="E106" s="46" t="str">
        <x:v>因此，我希望中國正視中華民國存在的事實，尊重臺灣人民的選擇，拿出誠意，和臺灣民選合法的政府，在對等、尊嚴的原則下，以對話取代對抗，交流取代圍堵，進行合作，可以先從重啟雙邊對等的觀光旅遊，以及學位生來臺就學開始，一起追求和平共榮。</x:v>
      </x:c>
      <x:c r="F106" s="47" t="str">
        <x:v>中國／中華人民共和國</x:v>
      </x:c>
      <x:c r="G106" s="47" t="str">
        <x:v>和解</x:v>
      </x:c>
      <x:c r="H106" s="47" t="str">
        <x:v>合作</x:v>
      </x:c>
      <x:c r="I106" s="47" t="str">
        <x:v>對話、和平、誠意、合作、交流、共榮</x:v>
      </x:c>
      <x:c r="J106" s="47" t="str">
        <x:v>維持現狀；以嚇阻追求和平</x:v>
      </x:c>
      <x:c r="K106" s="47" t="str">
        <x:v>是</x:v>
      </x:c>
      <x:c r="L106" s="46" t="str">
        <x:v>已逐句初步編碼；可依研究問題調整</x:v>
      </x:c>
      <x:c r="M106" s="48" t="str">
        <x:v>https://www.president.gov.tw/Page/700</x:v>
      </x:c>
    </x:row>
    <x:row r="107" ht="54" customHeight="1">
      <x:c r="A107" s="45" t="str">
        <x:v>2024-05</x:v>
      </x:c>
      <x:c r="B107" s="45" t="n">
        <x:v>2024</x:v>
      </x:c>
      <x:c r="C107" s="45" t="str">
        <x:v>賴清德</x:v>
      </x:c>
      <x:c r="D107" s="45" t="str">
        <x:v>中國</x:v>
      </x:c>
      <x:c r="E107" s="46" t="str">
        <x:v>在中國尚未放棄武力犯臺之下，國人應該了解：即使全盤接受中國的主張，放棄主權，中國併吞臺灣的企圖並不會消失。</x:v>
      </x:c>
      <x:c r="F107" s="47" t="str">
        <x:v>中國／中華人民共和國</x:v>
      </x:c>
      <x:c r="G107" s="47" t="str">
        <x:v>威脅</x:v>
      </x:c>
      <x:c r="H107" s="47" t="str">
        <x:v>防衛</x:v>
      </x:c>
      <x:c r="I107" s="47" t="str">
        <x:v>武力、犯臺、併吞、主權</x:v>
      </x:c>
      <x:c r="J107" s="47" t="str">
        <x:v>維持現狀；以嚇阻追求和平</x:v>
      </x:c>
      <x:c r="K107" s="47" t="str">
        <x:v>是</x:v>
      </x:c>
      <x:c r="L107" s="46" t="str">
        <x:v>已逐句初步編碼；可依研究問題調整</x:v>
      </x:c>
      <x:c r="M107" s="48" t="str">
        <x:v>https://www.president.gov.tw/Page/700</x:v>
      </x:c>
    </x:row>
    <x:row r="108" ht="54" customHeight="1">
      <x:c r="A108" s="49" t="str">
        <x:v>2024-06</x:v>
      </x:c>
      <x:c r="B108" s="49" t="n">
        <x:v>2024</x:v>
      </x:c>
      <x:c r="C108" s="49" t="str">
        <x:v>賴清德</x:v>
      </x:c>
      <x:c r="D108" s="49" t="str">
        <x:v>中國、兩岸</x:v>
      </x:c>
      <x:c r="E108" s="50" t="str">
        <x:v>面對來自中國的各種威脅滲透，我們必須展現守護國家的決心，提升全民保家衛國的意識，健全國安法制，並且積極落實「和平四大支柱行動方案」，強化國防力量，建構經濟安全，展現穩定而有原則的兩岸關係領導能力，以及推動價值外交，跟全球民主國家肩並肩，形成和平共同體，來發揮威懾力量，避免戰爭發生，靠實力達到和平的目標！</x:v>
      </x:c>
      <x:c r="F108" s="51" t="str">
        <x:v>兩岸關係</x:v>
      </x:c>
      <x:c r="G108" s="51" t="str">
        <x:v>威脅</x:v>
      </x:c>
      <x:c r="H108" s="51" t="str">
        <x:v>防衛</x:v>
      </x:c>
      <x:c r="I108" s="51" t="str">
        <x:v>威脅、滲透、安全、國防、威懾、守護</x:v>
      </x:c>
      <x:c r="J108" s="51" t="str">
        <x:v>維持現狀；以嚇阻追求和平</x:v>
      </x:c>
      <x:c r="K108" s="51" t="str">
        <x:v>是</x:v>
      </x:c>
      <x:c r="L108" s="50" t="str">
        <x:v>已逐句初步編碼；可依研究問題調整</x:v>
      </x:c>
      <x:c r="M108" s="52" t="str">
        <x:v>https://www.president.gov.tw/Page/700</x:v>
      </x:c>
    </x:row>
  </x:sheetData>
  <x:mergeCells>
    <x:mergeCell ref="A2:M2"/>
    <x:mergeCell ref="A3:M3"/>
  </x:mergeCells>
  <x:conditionalFormatting sqref="G5:G108">
    <x:cfRule type="containsText" dxfId="0" priority="1" operator="containsText" text="合作"/>
    <x:cfRule type="containsText" dxfId="1" priority="2" operator="containsText" text="和解"/>
    <x:cfRule type="containsText" dxfId="2" priority="3" operator="containsText" text="防衛"/>
    <x:cfRule type="containsText" dxfId="3" priority="4" operator="containsText" text="威脅"/>
    <x:cfRule type="containsText" dxfId="4" priority="5" operator="containsText" text="中性／背景"/>
  </x:conditionalFormatting>
  <x:dataValidations count="2">
    <x:dataValidation type="list" sqref="G5:G108">
      <x:formula1>"合作,和解,防衛,威脅,中性／背景"</x:formula1>
    </x:dataValidation>
    <x:dataValidation type="list" sqref="H5:H108">
      <x:formula1>",合作,和解,防衛,威脅,合作、和解,合作、防衛,和解、防衛,和解、合作,威脅、防衛"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ed1d1c0d24f20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0" hidden="0" customWidth="1"/>
    <x:col min="11" max="11" width="12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25" customHeight="1">
      <x:c r="A2" s="53" t="str">
        <x:v>總統就職演說的經濟語境分析（1996–2024）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 ht="32" customHeight="1">
      <x:c r="A3" s="4" t="str">
        <x:v>分析詞："經 濟"、"產 業"、"成 長"、"就 業"、"創 新"、"轉 型"、"供 應 鏈"、"經 濟 安 全"。句子去重後再進行語境編碼。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</x:row>
    <x:row r="6" ht="30" customHeight="1">
      <x:c r="A6" s="66" t="str">
        <x:v>年份</x:v>
      </x:c>
      <x:c r="B6" s="67" t="str">
        <x:v>總統</x:v>
      </x:c>
      <x:c r="C6" s="67" t="str">
        <x:v>句子筆數</x:v>
      </x:c>
      <x:c r="D6" s="67" t="str">
        <x:v>經濟</x:v>
      </x:c>
      <x:c r="E6" s="67" t="str">
        <x:v>產業</x:v>
      </x:c>
      <x:c r="F6" s="67" t="str">
        <x:v>成長</x:v>
      </x:c>
      <x:c r="G6" s="67" t="str">
        <x:v>就業</x:v>
      </x:c>
      <x:c r="H6" s="67" t="str">
        <x:v>創新</x:v>
      </x:c>
      <x:c r="I6" s="67" t="str">
        <x:v>轉型</x:v>
      </x:c>
      <x:c r="J6" s="67" t="str">
        <x:v>供應鏈</x:v>
      </x:c>
      <x:c r="K6" s="68" t="str">
        <x:v>經濟安全</x:v>
      </x:c>
    </x:row>
    <x:row r="7" ht="28" customHeight="1">
      <x:c r="A7" s="70" t="n">
        <x:v>1996</x:v>
      </x:c>
      <x:c r="B7" s="70" t="str">
        <x:v>李登輝</x:v>
      </x:c>
      <x:c r="C7" s="70" t="n">
        <x:f>COUNTIFS('經濟逐句編碼'!$B$5:$B$156,A7)</x:f>
        <x:v>7</x:v>
      </x:c>
      <x:c r="D7" s="70" t="n">
        <x:v>5</x:v>
      </x:c>
      <x:c r="E7" s="70" t="n">
        <x:v>0</x:v>
      </x:c>
      <x:c r="F7" s="70" t="n">
        <x:v>1</x:v>
      </x:c>
      <x:c r="G7" s="70" t="n">
        <x:v>0</x:v>
      </x:c>
      <x:c r="H7" s="70" t="n">
        <x:v>1</x:v>
      </x:c>
      <x:c r="I7" s="70" t="n">
        <x:v>0</x:v>
      </x:c>
      <x:c r="J7" s="70" t="n">
        <x:v>0</x:v>
      </x:c>
      <x:c r="K7" s="70" t="n">
        <x:v>0</x:v>
      </x:c>
    </x:row>
    <x:row r="8" ht="28" customHeight="1">
      <x:c r="A8" s="71" t="n">
        <x:v>2000</x:v>
      </x:c>
      <x:c r="B8" s="71" t="str">
        <x:v>陳水扁</x:v>
      </x:c>
      <x:c r="C8" s="71" t="n">
        <x:f>COUNTIFS('經濟逐句編碼'!$B$5:$B$156,A8)</x:f>
        <x:v>12</x:v>
      </x:c>
      <x:c r="D8" s="71" t="n">
        <x:v>9</x:v>
      </x:c>
      <x:c r="E8" s="71" t="n">
        <x:v>4</x:v>
      </x:c>
      <x:c r="F8" s="71" t="n">
        <x:v>2</x:v>
      </x:c>
      <x:c r="G8" s="71" t="n">
        <x:v>0</x:v>
      </x:c>
      <x:c r="H8" s="71" t="n">
        <x:v>2</x:v>
      </x:c>
      <x:c r="I8" s="71" t="n">
        <x:v>1</x:v>
      </x:c>
      <x:c r="J8" s="71" t="n">
        <x:v>0</x:v>
      </x:c>
      <x:c r="K8" s="71" t="n">
        <x:v>0</x:v>
      </x:c>
    </x:row>
    <x:row r="9" ht="28" customHeight="1">
      <x:c r="A9" s="71" t="n">
        <x:v>2004</x:v>
      </x:c>
      <x:c r="B9" s="71" t="str">
        <x:v>陳水扁</x:v>
      </x:c>
      <x:c r="C9" s="71" t="n">
        <x:f>COUNTIFS('經濟逐句編碼'!$B$5:$B$156,A9)</x:f>
        <x:v>5</x:v>
      </x:c>
      <x:c r="D9" s="71" t="n">
        <x:v>4</x:v>
      </x:c>
      <x:c r="E9" s="71" t="n">
        <x:v>0</x:v>
      </x:c>
      <x:c r="F9" s="71" t="n">
        <x:v>0</x:v>
      </x:c>
      <x:c r="G9" s="71" t="n">
        <x:v>0</x:v>
      </x:c>
      <x:c r="H9" s="71" t="n">
        <x:v>0</x:v>
      </x:c>
      <x:c r="I9" s="71" t="n">
        <x:v>1</x:v>
      </x:c>
      <x:c r="J9" s="71" t="n">
        <x:v>0</x:v>
      </x:c>
      <x:c r="K9" s="71" t="n">
        <x:v>0</x:v>
      </x:c>
    </x:row>
    <x:row r="10" ht="28" customHeight="1">
      <x:c r="A10" s="71" t="n">
        <x:v>2008</x:v>
      </x:c>
      <x:c r="B10" s="71" t="str">
        <x:v>馬英九</x:v>
      </x:c>
      <x:c r="C10" s="71" t="n">
        <x:f>COUNTIFS('經濟逐句編碼'!$B$5:$B$156,A10)</x:f>
        <x:v>11</x:v>
      </x:c>
      <x:c r="D10" s="71" t="n">
        <x:v>7</x:v>
      </x:c>
      <x:c r="E10" s="71" t="n">
        <x:v>1</x:v>
      </x:c>
      <x:c r="F10" s="71" t="n">
        <x:v>3</x:v>
      </x:c>
      <x:c r="G10" s="71" t="n">
        <x:v>0</x:v>
      </x:c>
      <x:c r="H10" s="71" t="n">
        <x:v>2</x:v>
      </x:c>
      <x:c r="I10" s="71" t="n">
        <x:v>0</x:v>
      </x:c>
      <x:c r="J10" s="71" t="n">
        <x:v>0</x:v>
      </x:c>
      <x:c r="K10" s="71" t="n">
        <x:v>1</x:v>
      </x:c>
    </x:row>
    <x:row r="11" ht="28" customHeight="1">
      <x:c r="A11" s="71" t="n">
        <x:v>2012</x:v>
      </x:c>
      <x:c r="B11" s="71" t="str">
        <x:v>馬英九</x:v>
      </x:c>
      <x:c r="C11" s="71" t="n">
        <x:f>COUNTIFS('經濟逐句編碼'!$B$5:$B$156,A11)</x:f>
        <x:v>23</x:v>
      </x:c>
      <x:c r="D11" s="71" t="n">
        <x:v>19</x:v>
      </x:c>
      <x:c r="E11" s="71" t="n">
        <x:v>16</x:v>
      </x:c>
      <x:c r="F11" s="71" t="n">
        <x:v>10</x:v>
      </x:c>
      <x:c r="G11" s="71" t="n">
        <x:v>5</x:v>
      </x:c>
      <x:c r="H11" s="71" t="n">
        <x:v>2</x:v>
      </x:c>
      <x:c r="I11" s="71" t="n">
        <x:v>0</x:v>
      </x:c>
      <x:c r="J11" s="71" t="n">
        <x:v>0</x:v>
      </x:c>
      <x:c r="K11" s="71" t="n">
        <x:v>0</x:v>
      </x:c>
    </x:row>
    <x:row r="12" ht="28" customHeight="1">
      <x:c r="A12" s="71" t="n">
        <x:v>2016</x:v>
      </x:c>
      <x:c r="B12" s="71" t="str">
        <x:v>蔡英文</x:v>
      </x:c>
      <x:c r="C12" s="71" t="n">
        <x:f>COUNTIFS('經濟逐句編碼'!$B$5:$B$156,A12)</x:f>
        <x:v>27</x:v>
      </x:c>
      <x:c r="D12" s="71" t="n">
        <x:v>27</x:v>
      </x:c>
      <x:c r="E12" s="71" t="n">
        <x:v>3</x:v>
      </x:c>
      <x:c r="F12" s="71" t="n">
        <x:v>2</x:v>
      </x:c>
      <x:c r="G12" s="71" t="n">
        <x:v>1</x:v>
      </x:c>
      <x:c r="H12" s="71" t="n">
        <x:v>3</x:v>
      </x:c>
      <x:c r="I12" s="71" t="n">
        <x:v>5</x:v>
      </x:c>
      <x:c r="J12" s="71" t="n">
        <x:v>0</x:v>
      </x:c>
      <x:c r="K12" s="71" t="n">
        <x:v>0</x:v>
      </x:c>
    </x:row>
    <x:row r="13" ht="28" customHeight="1">
      <x:c r="A13" s="71" t="n">
        <x:v>2020</x:v>
      </x:c>
      <x:c r="B13" s="71" t="str">
        <x:v>蔡英文</x:v>
      </x:c>
      <x:c r="C13" s="71" t="n">
        <x:f>COUNTIFS('經濟逐句編碼'!$B$5:$B$156,A13)</x:f>
        <x:v>43</x:v>
      </x:c>
      <x:c r="D13" s="71" t="n">
        <x:v>17</x:v>
      </x:c>
      <x:c r="E13" s="71" t="n">
        <x:v>39</x:v>
      </x:c>
      <x:c r="F13" s="71" t="n">
        <x:v>4</x:v>
      </x:c>
      <x:c r="G13" s="71" t="n">
        <x:v>0</x:v>
      </x:c>
      <x:c r="H13" s="71" t="n">
        <x:v>1</x:v>
      </x:c>
      <x:c r="I13" s="71" t="n">
        <x:v>4</x:v>
      </x:c>
      <x:c r="J13" s="71" t="n">
        <x:v>3</x:v>
      </x:c>
      <x:c r="K13" s="71" t="n">
        <x:v>0</x:v>
      </x:c>
    </x:row>
    <x:row r="14" ht="28" customHeight="1">
      <x:c r="A14" s="72" t="n">
        <x:v>2024</x:v>
      </x:c>
      <x:c r="B14" s="72" t="str">
        <x:v>賴清德</x:v>
      </x:c>
      <x:c r="C14" s="72" t="n">
        <x:f>COUNTIFS('經濟逐句編碼'!$B$5:$B$156,A14)</x:f>
        <x:v>24</x:v>
      </x:c>
      <x:c r="D14" s="72" t="n">
        <x:v>10</x:v>
      </x:c>
      <x:c r="E14" s="72" t="n">
        <x:v>16</x:v>
      </x:c>
      <x:c r="F14" s="72" t="n">
        <x:v>1</x:v>
      </x:c>
      <x:c r="G14" s="72" t="n">
        <x:v>0</x:v>
      </x:c>
      <x:c r="H14" s="72" t="n">
        <x:v>4</x:v>
      </x:c>
      <x:c r="I14" s="72" t="n">
        <x:v>6</x:v>
      </x:c>
      <x:c r="J14" s="72" t="n">
        <x:v>3</x:v>
      </x:c>
      <x:c r="K14" s="72" t="n">
        <x:v>1</x:v>
      </x:c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</x:row>
    <x:row r="17" ht="38" customHeight="1">
      <x:c r="A17" s="66" t="str">
        <x:v>年份</x:v>
      </x:c>
      <x:c r="B17" s="67" t="str">
        <x:v>總統</x:v>
      </x:c>
      <x:c r="C17" s="67" t="str">
        <x:v>成長與競爭力</x:v>
      </x:c>
      <x:c r="D17" s="67" t="str">
        <x:v>產業升級與創新</x:v>
      </x:c>
      <x:c r="E17" s="67" t="str">
        <x:v>就業與分配</x:v>
      </x:c>
      <x:c r="F17" s="67" t="str">
        <x:v>全球化與經貿整合</x:v>
      </x:c>
      <x:c r="G17" s="67" t="str">
        <x:v>永續與綠色轉型</x:v>
      </x:c>
      <x:c r="H17" s="67" t="str">
        <x:v>供應鏈與經濟安全</x:v>
      </x:c>
      <x:c r="I17" s="67" t="str">
        <x:v>政策背景與成果</x:v>
      </x:c>
      <x:c r="J17" s="68" t="str">
        <x:v>非經濟用法</x:v>
      </x:c>
      <x:c r="K17" s="35"/>
    </x:row>
    <x:row r="18" ht="28" customHeight="1">
      <x:c r="A18" s="70" t="n">
        <x:v>1996</x:v>
      </x:c>
      <x:c r="B18" s="70" t="str">
        <x:v>李登輝</x:v>
      </x:c>
      <x:c r="C18" s="70" t="n">
        <x:f>COUNTIFS('經濟逐句編碼'!$B$5:$B$156,$A18,'經濟逐句編碼'!$G$5:$G$156,"成長與競爭力")</x:f>
        <x:v>3</x:v>
      </x:c>
      <x:c r="D18" s="70" t="n">
        <x:f>COUNTIFS('經濟逐句編碼'!$B$5:$B$156,$A18,'經濟逐句編碼'!$G$5:$G$156,"產業升級與創新")</x:f>
        <x:v>0</x:v>
      </x:c>
      <x:c r="E18" s="70" t="n">
        <x:f>COUNTIFS('經濟逐句編碼'!$B$5:$B$156,$A18,'經濟逐句編碼'!$G$5:$G$156,"就業與分配")</x:f>
        <x:v>0</x:v>
      </x:c>
      <x:c r="F18" s="70" t="n">
        <x:f>COUNTIFS('經濟逐句編碼'!$B$5:$B$156,$A18,'經濟逐句編碼'!$G$5:$G$156,"全球化與經貿整合")</x:f>
        <x:v>1</x:v>
      </x:c>
      <x:c r="G18" s="70" t="n">
        <x:f>COUNTIFS('經濟逐句編碼'!$B$5:$B$156,$A18,'經濟逐句編碼'!$G$5:$G$156,"永續與綠色轉型")</x:f>
        <x:v>0</x:v>
      </x:c>
      <x:c r="H18" s="70" t="n">
        <x:f>COUNTIFS('經濟逐句編碼'!$B$5:$B$156,$A18,'經濟逐句編碼'!$G$5:$G$156,"供應鏈與經濟安全")</x:f>
        <x:v>0</x:v>
      </x:c>
      <x:c r="I18" s="70" t="n">
        <x:f>COUNTIFS('經濟逐句編碼'!$B$5:$B$156,$A18,'經濟逐句編碼'!$G$5:$G$156,"政策背景與成果")</x:f>
        <x:v>1</x:v>
      </x:c>
      <x:c r="J18" s="70" t="n">
        <x:f>COUNTIFS('經濟逐句編碼'!$B$5:$B$156,$A18,'經濟逐句編碼'!$G$5:$G$156,"非經濟用法")</x:f>
        <x:v>2</x:v>
      </x:c>
      <x:c r="K18" s="35"/>
    </x:row>
    <x:row r="19" ht="28" customHeight="1">
      <x:c r="A19" s="71" t="n">
        <x:v>2000</x:v>
      </x:c>
      <x:c r="B19" s="71" t="str">
        <x:v>陳水扁</x:v>
      </x:c>
      <x:c r="C19" s="71" t="n">
        <x:f>COUNTIFS('經濟逐句編碼'!$B$5:$B$156,$A19,'經濟逐句編碼'!$G$5:$G$156,"成長與競爭力")</x:f>
        <x:v>5</x:v>
      </x:c>
      <x:c r="D19" s="71" t="n">
        <x:f>COUNTIFS('經濟逐句編碼'!$B$5:$B$156,$A19,'經濟逐句編碼'!$G$5:$G$156,"產業升級與創新")</x:f>
        <x:v>1</x:v>
      </x:c>
      <x:c r="E19" s="71" t="n">
        <x:f>COUNTIFS('經濟逐句編碼'!$B$5:$B$156,$A19,'經濟逐句編碼'!$G$5:$G$156,"就業與分配")</x:f>
        <x:v>0</x:v>
      </x:c>
      <x:c r="F19" s="71" t="n">
        <x:f>COUNTIFS('經濟逐句編碼'!$B$5:$B$156,$A19,'經濟逐句編碼'!$G$5:$G$156,"全球化與經貿整合")</x:f>
        <x:v>2</x:v>
      </x:c>
      <x:c r="G19" s="71" t="n">
        <x:f>COUNTIFS('經濟逐句編碼'!$B$5:$B$156,$A19,'經濟逐句編碼'!$G$5:$G$156,"永續與綠色轉型")</x:f>
        <x:v>1</x:v>
      </x:c>
      <x:c r="H19" s="71" t="n">
        <x:f>COUNTIFS('經濟逐句編碼'!$B$5:$B$156,$A19,'經濟逐句編碼'!$G$5:$G$156,"供應鏈與經濟安全")</x:f>
        <x:v>0</x:v>
      </x:c>
      <x:c r="I19" s="71" t="n">
        <x:f>COUNTIFS('經濟逐句編碼'!$B$5:$B$156,$A19,'經濟逐句編碼'!$G$5:$G$156,"政策背景與成果")</x:f>
        <x:v>0</x:v>
      </x:c>
      <x:c r="J19" s="71" t="n">
        <x:f>COUNTIFS('經濟逐句編碼'!$B$5:$B$156,$A19,'經濟逐句編碼'!$G$5:$G$156,"非經濟用法")</x:f>
        <x:v>3</x:v>
      </x:c>
      <x:c r="K19" s="35"/>
    </x:row>
    <x:row r="20" ht="28" customHeight="1">
      <x:c r="A20" s="71" t="n">
        <x:v>2004</x:v>
      </x:c>
      <x:c r="B20" s="71" t="str">
        <x:v>陳水扁</x:v>
      </x:c>
      <x:c r="C20" s="71" t="n">
        <x:f>COUNTIFS('經濟逐句編碼'!$B$5:$B$156,$A20,'經濟逐句編碼'!$G$5:$G$156,"成長與競爭力")</x:f>
        <x:v>1</x:v>
      </x:c>
      <x:c r="D20" s="71" t="n">
        <x:f>COUNTIFS('經濟逐句編碼'!$B$5:$B$156,$A20,'經濟逐句編碼'!$G$5:$G$156,"產業升級與創新")</x:f>
        <x:v>0</x:v>
      </x:c>
      <x:c r="E20" s="71" t="n">
        <x:f>COUNTIFS('經濟逐句編碼'!$B$5:$B$156,$A20,'經濟逐句編碼'!$G$5:$G$156,"就業與分配")</x:f>
        <x:v>1</x:v>
      </x:c>
      <x:c r="F20" s="71" t="n">
        <x:f>COUNTIFS('經濟逐句編碼'!$B$5:$B$156,$A20,'經濟逐句編碼'!$G$5:$G$156,"全球化與經貿整合")</x:f>
        <x:v>0</x:v>
      </x:c>
      <x:c r="G20" s="71" t="n">
        <x:f>COUNTIFS('經濟逐句編碼'!$B$5:$B$156,$A20,'經濟逐句編碼'!$G$5:$G$156,"永續與綠色轉型")</x:f>
        <x:v>0</x:v>
      </x:c>
      <x:c r="H20" s="71" t="n">
        <x:f>COUNTIFS('經濟逐句編碼'!$B$5:$B$156,$A20,'經濟逐句編碼'!$G$5:$G$156,"供應鏈與經濟安全")</x:f>
        <x:v>0</x:v>
      </x:c>
      <x:c r="I20" s="71" t="n">
        <x:f>COUNTIFS('經濟逐句編碼'!$B$5:$B$156,$A20,'經濟逐句編碼'!$G$5:$G$156,"政策背景與成果")</x:f>
        <x:v>2</x:v>
      </x:c>
      <x:c r="J20" s="71" t="n">
        <x:f>COUNTIFS('經濟逐句編碼'!$B$5:$B$156,$A20,'經濟逐句編碼'!$G$5:$G$156,"非經濟用法")</x:f>
        <x:v>1</x:v>
      </x:c>
      <x:c r="K20" s="35"/>
    </x:row>
    <x:row r="21" ht="28" customHeight="1">
      <x:c r="A21" s="71" t="n">
        <x:v>2008</x:v>
      </x:c>
      <x:c r="B21" s="71" t="str">
        <x:v>馬英九</x:v>
      </x:c>
      <x:c r="C21" s="71" t="n">
        <x:f>COUNTIFS('經濟逐句編碼'!$B$5:$B$156,$A21,'經濟逐句編碼'!$G$5:$G$156,"成長與競爭力")</x:f>
        <x:v>0</x:v>
      </x:c>
      <x:c r="D21" s="71" t="n">
        <x:f>COUNTIFS('經濟逐句編碼'!$B$5:$B$156,$A21,'經濟逐句編碼'!$G$5:$G$156,"產業升級與創新")</x:f>
        <x:v>2</x:v>
      </x:c>
      <x:c r="E21" s="71" t="n">
        <x:f>COUNTIFS('經濟逐句編碼'!$B$5:$B$156,$A21,'經濟逐句編碼'!$G$5:$G$156,"就業與分配")</x:f>
        <x:v>0</x:v>
      </x:c>
      <x:c r="F21" s="71" t="n">
        <x:f>COUNTIFS('經濟逐句編碼'!$B$5:$B$156,$A21,'經濟逐句編碼'!$G$5:$G$156,"全球化與經貿整合")</x:f>
        <x:v>3</x:v>
      </x:c>
      <x:c r="G21" s="71" t="n">
        <x:f>COUNTIFS('經濟逐句編碼'!$B$5:$B$156,$A21,'經濟逐句編碼'!$G$5:$G$156,"永續與綠色轉型")</x:f>
        <x:v>0</x:v>
      </x:c>
      <x:c r="H21" s="71" t="n">
        <x:f>COUNTIFS('經濟逐句編碼'!$B$5:$B$156,$A21,'經濟逐句編碼'!$G$5:$G$156,"供應鏈與經濟安全")</x:f>
        <x:v>0</x:v>
      </x:c>
      <x:c r="I21" s="71" t="n">
        <x:f>COUNTIFS('經濟逐句編碼'!$B$5:$B$156,$A21,'經濟逐句編碼'!$G$5:$G$156,"政策背景與成果")</x:f>
        <x:v>2</x:v>
      </x:c>
      <x:c r="J21" s="71" t="n">
        <x:f>COUNTIFS('經濟逐句編碼'!$B$5:$B$156,$A21,'經濟逐句編碼'!$G$5:$G$156,"非經濟用法")</x:f>
        <x:v>4</x:v>
      </x:c>
      <x:c r="K21" s="35"/>
    </x:row>
    <x:row r="22" ht="28" customHeight="1">
      <x:c r="A22" s="71" t="n">
        <x:v>2012</x:v>
      </x:c>
      <x:c r="B22" s="71" t="str">
        <x:v>馬英九</x:v>
      </x:c>
      <x:c r="C22" s="71" t="n">
        <x:f>COUNTIFS('經濟逐句編碼'!$B$5:$B$156,$A22,'經濟逐句編碼'!$G$5:$G$156,"成長與競爭力")</x:f>
        <x:v>1</x:v>
      </x:c>
      <x:c r="D22" s="71" t="n">
        <x:f>COUNTIFS('經濟逐句編碼'!$B$5:$B$156,$A22,'經濟逐句編碼'!$G$5:$G$156,"產業升級與創新")</x:f>
        <x:v>6</x:v>
      </x:c>
      <x:c r="E22" s="71" t="n">
        <x:f>COUNTIFS('經濟逐句編碼'!$B$5:$B$156,$A22,'經濟逐句編碼'!$G$5:$G$156,"就業與分配")</x:f>
        <x:v>3</x:v>
      </x:c>
      <x:c r="F22" s="71" t="n">
        <x:f>COUNTIFS('經濟逐句編碼'!$B$5:$B$156,$A22,'經濟逐句編碼'!$G$5:$G$156,"全球化與經貿整合")</x:f>
        <x:v>5</x:v>
      </x:c>
      <x:c r="G22" s="71" t="n">
        <x:f>COUNTIFS('經濟逐句編碼'!$B$5:$B$156,$A22,'經濟逐句編碼'!$G$5:$G$156,"永續與綠色轉型")</x:f>
        <x:v>5</x:v>
      </x:c>
      <x:c r="H22" s="71" t="n">
        <x:f>COUNTIFS('經濟逐句編碼'!$B$5:$B$156,$A22,'經濟逐句編碼'!$G$5:$G$156,"供應鏈與經濟安全")</x:f>
        <x:v>0</x:v>
      </x:c>
      <x:c r="I22" s="71" t="n">
        <x:f>COUNTIFS('經濟逐句編碼'!$B$5:$B$156,$A22,'經濟逐句編碼'!$G$5:$G$156,"政策背景與成果")</x:f>
        <x:v>1</x:v>
      </x:c>
      <x:c r="J22" s="71" t="n">
        <x:f>COUNTIFS('經濟逐句編碼'!$B$5:$B$156,$A22,'經濟逐句編碼'!$G$5:$G$156,"非經濟用法")</x:f>
        <x:v>2</x:v>
      </x:c>
      <x:c r="K22" s="35"/>
    </x:row>
    <x:row r="23" ht="28" customHeight="1">
      <x:c r="A23" s="71" t="n">
        <x:v>2016</x:v>
      </x:c>
      <x:c r="B23" s="71" t="str">
        <x:v>蔡英文</x:v>
      </x:c>
      <x:c r="C23" s="71" t="n">
        <x:f>COUNTIFS('經濟逐句編碼'!$B$5:$B$156,$A23,'經濟逐句編碼'!$G$5:$G$156,"成長與競爭力")</x:f>
        <x:v>5</x:v>
      </x:c>
      <x:c r="D23" s="71" t="n">
        <x:f>COUNTIFS('經濟逐句編碼'!$B$5:$B$156,$A23,'經濟逐句編碼'!$G$5:$G$156,"產業升級與創新")</x:f>
        <x:v>4</x:v>
      </x:c>
      <x:c r="E23" s="71" t="n">
        <x:f>COUNTIFS('經濟逐句編碼'!$B$5:$B$156,$A23,'經濟逐句編碼'!$G$5:$G$156,"就業與分配")</x:f>
        <x:v>1</x:v>
      </x:c>
      <x:c r="F23" s="71" t="n">
        <x:f>COUNTIFS('經濟逐句編碼'!$B$5:$B$156,$A23,'經濟逐句編碼'!$G$5:$G$156,"全球化與經貿整合")</x:f>
        <x:v>4</x:v>
      </x:c>
      <x:c r="G23" s="71" t="n">
        <x:f>COUNTIFS('經濟逐句編碼'!$B$5:$B$156,$A23,'經濟逐句編碼'!$G$5:$G$156,"永續與綠色轉型")</x:f>
        <x:v>5</x:v>
      </x:c>
      <x:c r="H23" s="71" t="n">
        <x:f>COUNTIFS('經濟逐句編碼'!$B$5:$B$156,$A23,'經濟逐句編碼'!$G$5:$G$156,"供應鏈與經濟安全")</x:f>
        <x:v>0</x:v>
      </x:c>
      <x:c r="I23" s="71" t="n">
        <x:f>COUNTIFS('經濟逐句編碼'!$B$5:$B$156,$A23,'經濟逐句編碼'!$G$5:$G$156,"政策背景與成果")</x:f>
        <x:v>5</x:v>
      </x:c>
      <x:c r="J23" s="71" t="n">
        <x:f>COUNTIFS('經濟逐句編碼'!$B$5:$B$156,$A23,'經濟逐句編碼'!$G$5:$G$156,"非經濟用法")</x:f>
        <x:v>3</x:v>
      </x:c>
      <x:c r="K23" s="35"/>
    </x:row>
    <x:row r="24" ht="28" customHeight="1">
      <x:c r="A24" s="71" t="n">
        <x:v>2020</x:v>
      </x:c>
      <x:c r="B24" s="71" t="str">
        <x:v>蔡英文</x:v>
      </x:c>
      <x:c r="C24" s="71" t="n">
        <x:f>COUNTIFS('經濟逐句編碼'!$B$5:$B$156,$A24,'經濟逐句編碼'!$G$5:$G$156,"成長與競爭力")</x:f>
        <x:v>4</x:v>
      </x:c>
      <x:c r="D24" s="71" t="n">
        <x:f>COUNTIFS('經濟逐句編碼'!$B$5:$B$156,$A24,'經濟逐句編碼'!$G$5:$G$156,"產業升級與創新")</x:f>
        <x:v>17</x:v>
      </x:c>
      <x:c r="E24" s="71" t="n">
        <x:f>COUNTIFS('經濟逐句編碼'!$B$5:$B$156,$A24,'經濟逐句編碼'!$G$5:$G$156,"就業與分配")</x:f>
        <x:v>0</x:v>
      </x:c>
      <x:c r="F24" s="71" t="n">
        <x:f>COUNTIFS('經濟逐句編碼'!$B$5:$B$156,$A24,'經濟逐句編碼'!$G$5:$G$156,"全球化與經貿整合")</x:f>
        <x:v>4</x:v>
      </x:c>
      <x:c r="G24" s="71" t="n">
        <x:f>COUNTIFS('經濟逐句編碼'!$B$5:$B$156,$A24,'經濟逐句編碼'!$G$5:$G$156,"永續與綠色轉型")</x:f>
        <x:v>1</x:v>
      </x:c>
      <x:c r="H24" s="71" t="n">
        <x:f>COUNTIFS('經濟逐句編碼'!$B$5:$B$156,$A24,'經濟逐句編碼'!$G$5:$G$156,"供應鏈與經濟安全")</x:f>
        <x:v>14</x:v>
      </x:c>
      <x:c r="I24" s="71" t="n">
        <x:f>COUNTIFS('經濟逐句編碼'!$B$5:$B$156,$A24,'經濟逐句編碼'!$G$5:$G$156,"政策背景與成果")</x:f>
        <x:v>0</x:v>
      </x:c>
      <x:c r="J24" s="71" t="n">
        <x:f>COUNTIFS('經濟逐句編碼'!$B$5:$B$156,$A24,'經濟逐句編碼'!$G$5:$G$156,"非經濟用法")</x:f>
        <x:v>3</x:v>
      </x:c>
      <x:c r="K24" s="35"/>
    </x:row>
    <x:row r="25" ht="28" customHeight="1">
      <x:c r="A25" s="72" t="n">
        <x:v>2024</x:v>
      </x:c>
      <x:c r="B25" s="72" t="str">
        <x:v>賴清德</x:v>
      </x:c>
      <x:c r="C25" s="72" t="n">
        <x:f>COUNTIFS('經濟逐句編碼'!$B$5:$B$156,$A25,'經濟逐句編碼'!$G$5:$G$156,"成長與競爭力")</x:f>
        <x:v>1</x:v>
      </x:c>
      <x:c r="D25" s="72" t="n">
        <x:f>COUNTIFS('經濟逐句編碼'!$B$5:$B$156,$A25,'經濟逐句編碼'!$G$5:$G$156,"產業升級與創新")</x:f>
        <x:v>9</x:v>
      </x:c>
      <x:c r="E25" s="72" t="n">
        <x:f>COUNTIFS('經濟逐句編碼'!$B$5:$B$156,$A25,'經濟逐句編碼'!$G$5:$G$156,"就業與分配")</x:f>
        <x:v>4</x:v>
      </x:c>
      <x:c r="F25" s="72" t="n">
        <x:f>COUNTIFS('經濟逐句編碼'!$B$5:$B$156,$A25,'經濟逐句編碼'!$G$5:$G$156,"全球化與經貿整合")</x:f>
        <x:v>0</x:v>
      </x:c>
      <x:c r="G25" s="72" t="n">
        <x:f>COUNTIFS('經濟逐句編碼'!$B$5:$B$156,$A25,'經濟逐句編碼'!$G$5:$G$156,"永續與綠色轉型")</x:f>
        <x:v>4</x:v>
      </x:c>
      <x:c r="H25" s="72" t="n">
        <x:f>COUNTIFS('經濟逐句編碼'!$B$5:$B$156,$A25,'經濟逐句編碼'!$G$5:$G$156,"供應鏈與經濟安全")</x:f>
        <x:v>4</x:v>
      </x:c>
      <x:c r="I25" s="72" t="n">
        <x:f>COUNTIFS('經濟逐句編碼'!$B$5:$B$156,$A25,'經濟逐句編碼'!$G$5:$G$156,"政策背景與成果")</x:f>
        <x:v>0</x:v>
      </x:c>
      <x:c r="J25" s="72" t="n">
        <x:f>COUNTIFS('經濟逐句編碼'!$B$5:$B$156,$A25,'經濟逐句編碼'!$G$5:$G$156,"非經濟用法")</x:f>
        <x:v>2</x:v>
      </x:c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 ht="28" customHeight="1">
      <x:c r="A28" s="74" t="str">
        <x:v>年份</x:v>
      </x:c>
      <x:c r="B28" s="74" t="str">
        <x:v>總統</x:v>
      </x:c>
      <x:c r="C28" s="74" t="str">
        <x:v>時期標籤</x:v>
      </x:c>
      <x:c r="D28" s="74" t="str">
        <x:v>綜合判讀</x:v>
      </x:c>
      <x:c r="E28" s="74"/>
      <x:c r="F28" s="74"/>
      <x:c r="G28" s="74"/>
      <x:c r="H28" s="74"/>
      <x:c r="I28" s="74"/>
      <x:c r="J28" s="74"/>
      <x:c r="K28" s="74"/>
    </x:row>
    <x:row r="29" ht="48" customHeight="1">
      <x:c r="A29" s="70" t="n">
        <x:v>1996</x:v>
      </x:c>
      <x:c r="B29" s="70" t="str">
        <x:v>李登輝</x:v>
      </x:c>
      <x:c r="C29" s="70" t="str">
        <x:v>國力與自由化</x:v>
      </x:c>
      <x:c r="D29" s="75" t="str">
        <x:v>經濟被視為民主之外的國家生存基礎；重點是亞太營運中心、自由化、國際化及提升競爭力。</x:v>
      </x:c>
      <x:c r="E29" s="75"/>
      <x:c r="F29" s="75"/>
      <x:c r="G29" s="75"/>
      <x:c r="H29" s="75"/>
      <x:c r="I29" s="75"/>
      <x:c r="J29" s="75"/>
      <x:c r="K29" s="75"/>
    </x:row>
    <x:row r="30" ht="48" customHeight="1">
      <x:c r="A30" s="71" t="n">
        <x:v>2000</x:v>
      </x:c>
      <x:c r="B30" s="71" t="str">
        <x:v>陳水扁</x:v>
      </x:c>
      <x:c r="C30" s="71" t="str">
        <x:v>知識經濟與產業升級</x:v>
      </x:c>
      <x:c r="D30" s="76" t="str">
        <x:v>從經濟奇蹟轉向知識經濟；高科技創新、傳統產業轉型、自由化與永續開始並列。</x:v>
      </x:c>
      <x:c r="E30" s="76"/>
      <x:c r="F30" s="76"/>
      <x:c r="G30" s="76"/>
      <x:c r="H30" s="76"/>
      <x:c r="I30" s="76"/>
      <x:c r="J30" s="76"/>
      <x:c r="K30" s="76"/>
    </x:row>
    <x:row r="31" ht="48" customHeight="1">
      <x:c r="A31" s="71" t="n">
        <x:v>2004</x:v>
      </x:c>
      <x:c r="B31" s="71" t="str">
        <x:v>陳水扁</x:v>
      </x:c>
      <x:c r="C31" s="71" t="str">
        <x:v>經濟正義與全球定位</x:v>
      </x:c>
      <x:c r="D31" s="76" t="str">
        <x:v>經濟詞較少，主要嵌入社會正義、憲政改革、全球競爭與臺灣整體發展敘事。</x:v>
      </x:c>
      <x:c r="E31" s="76"/>
      <x:c r="F31" s="76"/>
      <x:c r="G31" s="76"/>
      <x:c r="H31" s="76"/>
      <x:c r="I31" s="76"/>
      <x:c r="J31" s="76"/>
      <x:c r="K31" s="76"/>
    </x:row>
    <x:row r="32" ht="48" customHeight="1">
      <x:c r="A32" s="71" t="n">
        <x:v>2008</x:v>
      </x:c>
      <x:c r="B32" s="71" t="str">
        <x:v>馬英九</x:v>
      </x:c>
      <x:c r="C32" s="71" t="str">
        <x:v>開放與全球布局</x:v>
      </x:c>
      <x:c r="D32" s="76" t="str">
        <x:v>以振興經濟、開放鬆綁、連結亞太與全球布局回應經濟不安；尚未形成供應鏈安全框架。</x:v>
      </x:c>
      <x:c r="E32" s="76"/>
      <x:c r="F32" s="76"/>
      <x:c r="G32" s="76"/>
      <x:c r="H32" s="76"/>
      <x:c r="I32" s="76"/>
      <x:c r="J32" s="76"/>
      <x:c r="K32" s="76"/>
    </x:row>
    <x:row r="33" ht="48" customHeight="1">
      <x:c r="A33" s="71" t="n">
        <x:v>2012</x:v>
      </x:c>
      <x:c r="B33" s="71" t="str">
        <x:v>馬英九</x:v>
      </x:c>
      <x:c r="C33" s="71" t="str">
        <x:v>成長、就業與產業優質化</x:v>
      </x:c>
      <x:c r="D33" s="76" t="str">
        <x:v>經濟論述最密集；自由貿易、產業優質化、就業、薪資、公平分配與綠能產業形成完整政策組合。</x:v>
      </x:c>
      <x:c r="E33" s="76"/>
      <x:c r="F33" s="76"/>
      <x:c r="G33" s="76"/>
      <x:c r="H33" s="76"/>
      <x:c r="I33" s="76"/>
      <x:c r="J33" s="76"/>
      <x:c r="K33" s="76"/>
    </x:row>
    <x:row r="34" ht="48" customHeight="1">
      <x:c r="A34" s="71" t="n">
        <x:v>2016</x:v>
      </x:c>
      <x:c r="B34" s="71" t="str">
        <x:v>蔡英文</x:v>
      </x:c>
      <x:c r="C34" s="71" t="str">
        <x:v>結構轉型與市場多元化</x:v>
      </x:c>
      <x:c r="D34" s="76" t="str">
        <x:v>核心是擺脫代工瓶頸、降低單一市場依賴，以創新、就業、分配、永續及新南向建立自主的新經濟模式。</x:v>
      </x:c>
      <x:c r="E34" s="76"/>
      <x:c r="F34" s="76"/>
      <x:c r="G34" s="76"/>
      <x:c r="H34" s="76"/>
      <x:c r="I34" s="76"/>
      <x:c r="J34" s="76"/>
      <x:c r="K34" s="76"/>
    </x:row>
    <x:row r="35" ht="48" customHeight="1">
      <x:c r="A35" s="71" t="n">
        <x:v>2020</x:v>
      </x:c>
      <x:c r="B35" s="71" t="str">
        <x:v>蔡英文</x:v>
      </x:c>
      <x:c r="C35" s="71" t="str">
        <x:v>供應鏈韌性與戰略產業</x:v>
      </x:c>
      <x:c r="D35" s="76" t="str">
        <x:v>疫情與供應鏈重組使經濟論述安全化；半導體、資安、國防、醫療、綠能與關鍵物資被納入戰略產業。</x:v>
      </x:c>
      <x:c r="E35" s="76"/>
      <x:c r="F35" s="76"/>
      <x:c r="G35" s="76"/>
      <x:c r="H35" s="76"/>
      <x:c r="I35" s="76"/>
      <x:c r="J35" s="76"/>
      <x:c r="K35" s="76"/>
    </x:row>
    <x:row r="36" ht="48" customHeight="1">
      <x:c r="A36" s="72" t="n">
        <x:v>2024</x:v>
      </x:c>
      <x:c r="B36" s="72" t="str">
        <x:v>賴清德</x:v>
      </x:c>
      <x:c r="C36" s="72" t="str">
        <x:v>AI、雙軸轉型與經濟安全</x:v>
      </x:c>
      <x:c r="D36" s="77" t="str">
        <x:v>半導體、AI、民主供應鏈、五大信賴產業、數位與淨零轉型結合，經濟成為國安與全球民主網絡的一部分。</x:v>
      </x:c>
      <x:c r="E36" s="77"/>
      <x:c r="F36" s="77"/>
      <x:c r="G36" s="77"/>
      <x:c r="H36" s="77"/>
      <x:c r="I36" s="77"/>
      <x:c r="J36" s="77"/>
      <x:c r="K36" s="77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 ht="40" customHeight="1">
      <x:c r="A38" s="81" t="str">
        <x:v>注意：「經濟安全感」（2008）與政策概念「經濟安全」（2024）語意不同；「成長」「創新」「轉型」也可能是個人成長、文化創新或轉型正義，已標示為非經濟用法。</x:v>
      </x:c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</x:sheetData>
  <x:mergeCells>
    <x:mergeCell ref="A2:K2"/>
    <x:mergeCell ref="A3:K3"/>
    <x:mergeCell ref="D28:K28"/>
    <x:mergeCell ref="D29:K29"/>
    <x:mergeCell ref="D30:K30"/>
    <x:mergeCell ref="D31:K31"/>
    <x:mergeCell ref="D32:K32"/>
    <x:mergeCell ref="D33:K33"/>
    <x:mergeCell ref="D34:K34"/>
    <x:mergeCell ref="D35:K35"/>
    <x:mergeCell ref="D36:K36"/>
    <x:mergeCell ref="A38:K38"/>
  </x:mergeCells>
  <x:conditionalFormatting sqref="D7:K14">
    <x:cfRule type="colorScale" priority="1">
      <x:colorScale>
        <x:cfvo type="min"/>
        <x:cfvo type="percentile" val="50"/>
        <x:cfvo type="max"/>
        <x:color rgb="FFFFFFFF"/>
        <x:color rgb="FFE2F0D9"/>
        <x:color rgb="FF70AD47"/>
      </x:colorScale>
    </x:cfRule>
  </x:conditionalFormatting>
  <x:conditionalFormatting sqref="C18:J25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9D18E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10" hidden="0" customWidth="1"/>
    <x:col min="4" max="4" width="24" hidden="0" customWidth="1"/>
    <x:col min="5" max="5" width="80" hidden="0" customWidth="1"/>
    <x:col min="6" max="6" width="16" hidden="0" customWidth="1"/>
    <x:col min="7" max="7" width="22" hidden="0" customWidth="1"/>
    <x:col min="8" max="8" width="30" hidden="0" customWidth="1"/>
    <x:col min="9" max="9" width="34" hidden="0" customWidth="1"/>
    <x:col min="10" max="10" width="26" hidden="0" customWidth="1"/>
    <x:col min="11" max="11" width="28" hidden="0" customWidth="1"/>
    <x:col min="12" max="12" width="42" hidden="0" customWidth="1"/>
  </x:cols>
  <x:sheetData>
    <x:row r="2" ht="25" customHeight="1">
      <x:c r="A2" s="53" t="str">
        <x:v>經濟詞逐句語境編碼</x:v>
      </x:c>
    </x:row>
    <x:row r="3" ht="32" customHeight="1">
      <x:c r="A3" s="4" t="str">
        <x:v>每列為一個包含任一搜尋詞的完整句子。同一句命中多詞只保留一筆；非經濟語意另外標記，避免誤判。</x:v>
      </x:c>
    </x:row>
    <x:row r="4" ht="30" customHeight="1">
      <x:c r="A4" s="66" t="str">
        <x:v>紀錄ID</x:v>
      </x:c>
      <x:c r="B4" s="67" t="str">
        <x:v>年份</x:v>
      </x:c>
      <x:c r="C4" s="67" t="str">
        <x:v>總統</x:v>
      </x:c>
      <x:c r="D4" s="67" t="str">
        <x:v>命中搜尋詞</x:v>
      </x:c>
      <x:c r="E4" s="67" t="str">
        <x:v>完整句子</x:v>
      </x:c>
      <x:c r="F4" s="67" t="str">
        <x:v>是否經濟用法</x:v>
      </x:c>
      <x:c r="G4" s="67" t="str">
        <x:v>主要主題</x:v>
      </x:c>
      <x:c r="H4" s="67" t="str">
        <x:v>次要主題</x:v>
      </x:c>
      <x:c r="I4" s="67" t="str">
        <x:v>判斷線索</x:v>
      </x:c>
      <x:c r="J4" s="67" t="str">
        <x:v>時期標籤</x:v>
      </x:c>
      <x:c r="K4" s="67" t="str">
        <x:v>複核註記</x:v>
      </x:c>
      <x:c r="L4" s="68" t="str">
        <x:v>官方來源</x:v>
      </x:c>
    </x:row>
    <x:row r="5" ht="58" customHeight="1">
      <x:c r="A5" s="41" t="str">
        <x:v>1996-01</x:v>
      </x:c>
      <x:c r="B5" s="41" t="n">
        <x:v>1996</x:v>
      </x:c>
      <x:c r="C5" s="41" t="str">
        <x:v>李登輝</x:v>
      </x:c>
      <x:c r="D5" s="41" t="str">
        <x:v>經濟</x:v>
      </x:c>
      <x:c r="E5" s="42" t="str">
        <x:v>經濟發展與政治民主，同等重要。</x:v>
      </x:c>
      <x:c r="F5" s="43" t="str">
        <x:v>是</x:v>
      </x:c>
      <x:c r="G5" s="43" t="str">
        <x:v>成長與競爭力</x:v>
      </x:c>
      <x:c r="H5" s="43" t="str">
        <x:v>政策背景與成果</x:v>
      </x:c>
      <x:c r="I5" s="43" t="str">
        <x:v>成長與競爭力、政策背景與成果</x:v>
      </x:c>
      <x:c r="J5" s="43" t="str">
        <x:v>國力與自由化</x:v>
      </x:c>
      <x:c r="K5" s="43" t="str">
        <x:v>已逐句初步編碼；可依研究問題調整</x:v>
      </x:c>
      <x:c r="L5" s="44" t="str">
        <x:v>https://www.president.gov.tw/NEWS/22070</x:v>
      </x:c>
    </x:row>
    <x:row r="6" ht="58" customHeight="1">
      <x:c r="A6" s="45" t="str">
        <x:v>1996-02</x:v>
      </x:c>
      <x:c r="B6" s="45" t="n">
        <x:v>1996</x:v>
      </x:c>
      <x:c r="C6" s="45" t="str">
        <x:v>李登輝</x:v>
      </x:c>
      <x:c r="D6" s="45" t="str">
        <x:v>經濟</x:v>
      </x:c>
      <x:c r="E6" s="46" t="str">
        <x:v>沒有成功的經濟發展，我們會失去一切。</x:v>
      </x:c>
      <x:c r="F6" s="47" t="str">
        <x:v>是</x:v>
      </x:c>
      <x:c r="G6" s="47" t="str">
        <x:v>成長與競爭力</x:v>
      </x:c>
      <x:c r="H6" s="47" t="str">
        <x:v>政策背景與成果</x:v>
      </x:c>
      <x:c r="I6" s="47" t="str">
        <x:v>成長與競爭力、政策背景與成果</x:v>
      </x:c>
      <x:c r="J6" s="47" t="str">
        <x:v>國力與自由化</x:v>
      </x:c>
      <x:c r="K6" s="47" t="str">
        <x:v>已逐句初步編碼；可依研究問題調整</x:v>
      </x:c>
      <x:c r="L6" s="48" t="str">
        <x:v>https://www.president.gov.tw/NEWS/22070</x:v>
      </x:c>
    </x:row>
    <x:row r="7" ht="58" customHeight="1">
      <x:c r="A7" s="45" t="str">
        <x:v>1996-03</x:v>
      </x:c>
      <x:c r="B7" s="45" t="n">
        <x:v>1996</x:v>
      </x:c>
      <x:c r="C7" s="45" t="str">
        <x:v>李登輝</x:v>
      </x:c>
      <x:c r="D7" s="45" t="str">
        <x:v>經濟</x:v>
      </x:c>
      <x:c r="E7" s="46" t="str">
        <x:v>為了厚植國家實力，讓中華民國能在國際社會，以至未來國家統一的過程中，扮演舉足輕重的角色，我們必須依據既定時程，如期發展台灣成為「亞太營運中心」，並且同步規劃推動跨世紀的國家建設，儘速營造自由化與國際化的經濟體系，建設低稅負、無障礙的企業投資環境，改革土地制度，壯大中小企業，提升國家競爭力，以迎向互利共榮的亞太新世紀，成為國際繁榮發展不可或缺的重要夥伴。</x:v>
      </x:c>
      <x:c r="F7" s="47" t="str">
        <x:v>是</x:v>
      </x:c>
      <x:c r="G7" s="47" t="str">
        <x:v>全球化與經貿整合</x:v>
      </x:c>
      <x:c r="H7" s="47" t="str">
        <x:v>成長與競爭力、政策背景與成果</x:v>
      </x:c>
      <x:c r="I7" s="47" t="str">
        <x:v>全球化與經貿整合、成長與競爭力、政策背景與成果</x:v>
      </x:c>
      <x:c r="J7" s="47" t="str">
        <x:v>國力與自由化</x:v>
      </x:c>
      <x:c r="K7" s="47" t="str">
        <x:v>已逐句初步編碼；可依研究問題調整</x:v>
      </x:c>
      <x:c r="L7" s="48" t="str">
        <x:v>https://www.president.gov.tw/NEWS/22070</x:v>
      </x:c>
    </x:row>
    <x:row r="8" ht="58" customHeight="1">
      <x:c r="A8" s="45" t="str">
        <x:v>1996-04</x:v>
      </x:c>
      <x:c r="B8" s="45" t="n">
        <x:v>1996</x:v>
      </x:c>
      <x:c r="C8" s="45" t="str">
        <x:v>李登輝</x:v>
      </x:c>
      <x:c r="D8" s="45" t="str">
        <x:v>成長</x:v>
      </x:c>
      <x:c r="E8" s="46" t="str">
        <x:v>教育改革的重點，則在實踐快樂、滿足、多元，相互尊重的教育理念，以啟發潛能、尊重人本、發展個性、鼓勵創造為目標，解除不合理的束縛，建立終生學習的制度，讓個人創意與特性有充分發揮的空間，不斷追求自我的成長與實現。</x:v>
      </x:c>
      <x:c r="F8" s="47" t="str">
        <x:v>否</x:v>
      </x:c>
      <x:c r="G8" s="47" t="str">
        <x:v>非經濟用法</x:v>
      </x:c>
      <x:c r="H8" s="47" t="str"/>
      <x:c r="I8" s="47" t="str">
        <x:v>詞形命中，但語意屬政治、教育、文化、個人成長或制度改革</x:v>
      </x:c>
      <x:c r="J8" s="47" t="str">
        <x:v>國力與自由化</x:v>
      </x:c>
      <x:c r="K8" s="47" t="str">
        <x:v>已逐句初步編碼；可依研究問題調整</x:v>
      </x:c>
      <x:c r="L8" s="48" t="str">
        <x:v>https://www.president.gov.tw/NEWS/22070</x:v>
      </x:c>
    </x:row>
    <x:row r="9" ht="58" customHeight="1">
      <x:c r="A9" s="45" t="str">
        <x:v>1996-05</x:v>
      </x:c>
      <x:c r="B9" s="45" t="n">
        <x:v>1996</x:v>
      </x:c>
      <x:c r="C9" s="45" t="str">
        <x:v>李登輝</x:v>
      </x:c>
      <x:c r="D9" s="45" t="str">
        <x:v>經濟</x:v>
      </x:c>
      <x:c r="E9" s="46" t="str">
        <x:v>因為我們知道必須維持亞太地區的和平安定，更重要的是，我們不願意看到中國大陸改革開放後，好不容易建立起來的經濟成果，前功盡棄。</x:v>
      </x:c>
      <x:c r="F9" s="47" t="str">
        <x:v>是</x:v>
      </x:c>
      <x:c r="G9" s="47" t="str">
        <x:v>政策背景與成果</x:v>
      </x:c>
      <x:c r="H9" s="47" t="str"/>
      <x:c r="I9" s="47" t="str">
        <x:v>政策背景與成果</x:v>
      </x:c>
      <x:c r="J9" s="47" t="str">
        <x:v>國力與自由化</x:v>
      </x:c>
      <x:c r="K9" s="47" t="str">
        <x:v>已逐句初步編碼；可依研究問題調整</x:v>
      </x:c>
      <x:c r="L9" s="48" t="str">
        <x:v>https://www.president.gov.tw/NEWS/22070</x:v>
      </x:c>
    </x:row>
    <x:row r="10" ht="58" customHeight="1">
      <x:c r="A10" s="45" t="str">
        <x:v>1996-06</x:v>
      </x:c>
      <x:c r="B10" s="45" t="n">
        <x:v>1996</x:v>
      </x:c>
      <x:c r="C10" s="45" t="str">
        <x:v>李登輝</x:v>
      </x:c>
      <x:c r="D10" s="45" t="str">
        <x:v>經濟</x:v>
      </x:c>
      <x:c r="E10" s="46" t="str">
        <x:v>五十年來，我們在臺澎金馬的艱苦奮鬥，創造了舉世矚目的「經濟奇蹟」，完成了世人推崇的民主改革。</x:v>
      </x:c>
      <x:c r="F10" s="47" t="str">
        <x:v>是</x:v>
      </x:c>
      <x:c r="G10" s="47" t="str">
        <x:v>成長與競爭力</x:v>
      </x:c>
      <x:c r="H10" s="47" t="str">
        <x:v>政策背景與成果</x:v>
      </x:c>
      <x:c r="I10" s="47" t="str">
        <x:v>成長與競爭力、政策背景與成果</x:v>
      </x:c>
      <x:c r="J10" s="47" t="str">
        <x:v>國力與自由化</x:v>
      </x:c>
      <x:c r="K10" s="47" t="str">
        <x:v>已逐句初步編碼；可依研究問題調整</x:v>
      </x:c>
      <x:c r="L10" s="48" t="str">
        <x:v>https://www.president.gov.tw/NEWS/22070</x:v>
      </x:c>
    </x:row>
    <x:row r="11" ht="58" customHeight="1">
      <x:c r="A11" s="45" t="str">
        <x:v>1996-07</x:v>
      </x:c>
      <x:c r="B11" s="45" t="n">
        <x:v>1996</x:v>
      </x:c>
      <x:c r="C11" s="45" t="str">
        <x:v>李登輝</x:v>
      </x:c>
      <x:c r="D11" s="45" t="str">
        <x:v>創新</x:v>
      </x:c>
      <x:c r="E11" s="46" t="str">
        <x:v>這不但是我們兩千一百三十萬同胞共同的光榮，更是中華民族振衰起敝，再創新機運的關鍵。</x:v>
      </x:c>
      <x:c r="F11" s="47" t="str">
        <x:v>否</x:v>
      </x:c>
      <x:c r="G11" s="47" t="str">
        <x:v>非經濟用法</x:v>
      </x:c>
      <x:c r="H11" s="47" t="str"/>
      <x:c r="I11" s="47" t="str">
        <x:v>詞形命中，但語意屬政治、教育、文化、個人成長或制度改革</x:v>
      </x:c>
      <x:c r="J11" s="47" t="str">
        <x:v>國力與自由化</x:v>
      </x:c>
      <x:c r="K11" s="47" t="str">
        <x:v>已逐句初步編碼；可依研究問題調整</x:v>
      </x:c>
      <x:c r="L11" s="48" t="str">
        <x:v>https://www.president.gov.tw/NEWS/22070</x:v>
      </x:c>
    </x:row>
    <x:row r="12" ht="58" customHeight="1">
      <x:c r="A12" s="45" t="str">
        <x:v>2000-01</x:v>
      </x:c>
      <x:c r="B12" s="45" t="n">
        <x:v>2000</x:v>
      </x:c>
      <x:c r="C12" s="45" t="str">
        <x:v>陳水扁</x:v>
      </x:c>
      <x:c r="D12" s="45" t="str">
        <x:v>經濟</x:v>
      </x:c>
      <x:c r="E12" s="46" t="str">
        <x:v>當然，我們也應該瞭解，政府不是一切問題的答案，人民才是經濟發展與社會進步的原動力。</x:v>
      </x:c>
      <x:c r="F12" s="47" t="str">
        <x:v>是</x:v>
      </x:c>
      <x:c r="G12" s="47" t="str">
        <x:v>成長與競爭力</x:v>
      </x:c>
      <x:c r="H12" s="47" t="str">
        <x:v>政策背景與成果</x:v>
      </x:c>
      <x:c r="I12" s="47" t="str">
        <x:v>成長與競爭力、政策背景與成果</x:v>
      </x:c>
      <x:c r="J12" s="47" t="str">
        <x:v>知識經濟與產業升級</x:v>
      </x:c>
      <x:c r="K12" s="47" t="str">
        <x:v>已逐句初步編碼；可依研究問題調整</x:v>
      </x:c>
      <x:c r="L12" s="48" t="str">
        <x:v>https://www.president.gov.tw/NEWS/6742</x:v>
      </x:c>
    </x:row>
    <x:row r="13" ht="58" customHeight="1">
      <x:c r="A13" s="45" t="str">
        <x:v>2000-02</x:v>
      </x:c>
      <x:c r="B13" s="45" t="n">
        <x:v>2000</x:v>
      </x:c>
      <x:c r="C13" s="45" t="str">
        <x:v>陳水扁</x:v>
      </x:c>
      <x:c r="D13" s="45" t="str">
        <x:v>經濟</x:v>
      </x:c>
      <x:c r="E13" s="46" t="str">
        <x:v>過去半個世紀以來，台灣人民靠著胼手胝足的努力創造了舉世稱羨的經濟奇蹟，也奠定了中華民國生存發展的命脈。</x:v>
      </x:c>
      <x:c r="F13" s="47" t="str">
        <x:v>是</x:v>
      </x:c>
      <x:c r="G13" s="47" t="str">
        <x:v>成長與競爭力</x:v>
      </x:c>
      <x:c r="H13" s="47" t="str">
        <x:v>政策背景與成果</x:v>
      </x:c>
      <x:c r="I13" s="47" t="str">
        <x:v>成長與競爭力、政策背景與成果</x:v>
      </x:c>
      <x:c r="J13" s="47" t="str">
        <x:v>知識經濟與產業升級</x:v>
      </x:c>
      <x:c r="K13" s="47" t="str">
        <x:v>已逐句初步編碼；可依研究問題調整</x:v>
      </x:c>
      <x:c r="L13" s="48" t="str">
        <x:v>https://www.president.gov.tw/NEWS/6742</x:v>
      </x:c>
    </x:row>
    <x:row r="14" ht="58" customHeight="1">
      <x:c r="A14" s="45" t="str">
        <x:v>2000-03</x:v>
      </x:c>
      <x:c r="B14" s="45" t="n">
        <x:v>2000</x:v>
      </x:c>
      <x:c r="C14" s="45" t="str">
        <x:v>陳水扁</x:v>
      </x:c>
      <x:c r="D14" s="45" t="str">
        <x:v>經濟、產業、創新、轉型</x:v>
      </x:c>
      <x:c r="E14" s="46" t="str">
        <x:v>如今，面對資訊科技日新月異以及貿易自由化的衝擊，台灣的產業發展必然要走向知識經濟的時代，高科技的產業必須不斷創新，傳統的產業也必然要轉型升級。</x:v>
      </x:c>
      <x:c r="F14" s="47" t="str">
        <x:v>是</x:v>
      </x:c>
      <x:c r="G14" s="47" t="str">
        <x:v>全球化與經貿整合</x:v>
      </x:c>
      <x:c r="H14" s="47" t="str">
        <x:v>產業升級與創新、政策背景與成果</x:v>
      </x:c>
      <x:c r="I14" s="47" t="str">
        <x:v>全球化與經貿整合、產業升級與創新、政策背景與成果</x:v>
      </x:c>
      <x:c r="J14" s="47" t="str">
        <x:v>知識經濟與產業升級</x:v>
      </x:c>
      <x:c r="K14" s="47" t="str">
        <x:v>已逐句初步編碼；可依研究問題調整</x:v>
      </x:c>
      <x:c r="L14" s="48" t="str">
        <x:v>https://www.president.gov.tw/NEWS/6742</x:v>
      </x:c>
    </x:row>
    <x:row r="15" ht="58" customHeight="1">
      <x:c r="A15" s="45" t="str">
        <x:v>2000-04</x:v>
      </x:c>
      <x:c r="B15" s="45" t="n">
        <x:v>2000</x:v>
      </x:c>
      <x:c r="C15" s="45" t="str">
        <x:v>陳水扁</x:v>
      </x:c>
      <x:c r="D15" s="45" t="str">
        <x:v>經濟</x:v>
      </x:c>
      <x:c r="E15" s="46" t="str">
        <x:v>現代政府的責任在於提高行政的效能、改善國內的投資環境、維持金融秩序與股市的穩定，讓經濟的發展透過公平的競爭走向完全的自由化和國際化。</x:v>
      </x:c>
      <x:c r="F15" s="47" t="str">
        <x:v>是</x:v>
      </x:c>
      <x:c r="G15" s="47" t="str">
        <x:v>全球化與經貿整合</x:v>
      </x:c>
      <x:c r="H15" s="47" t="str">
        <x:v>成長與競爭力、政策背景與成果</x:v>
      </x:c>
      <x:c r="I15" s="47" t="str">
        <x:v>全球化與經貿整合、成長與競爭力、政策背景與成果</x:v>
      </x:c>
      <x:c r="J15" s="47" t="str">
        <x:v>知識經濟與產業升級</x:v>
      </x:c>
      <x:c r="K15" s="47" t="str">
        <x:v>已逐句初步編碼；可依研究問題調整</x:v>
      </x:c>
      <x:c r="L15" s="48" t="str">
        <x:v>https://www.president.gov.tw/NEWS/6742</x:v>
      </x:c>
    </x:row>
    <x:row r="16" ht="58" customHeight="1">
      <x:c r="A16" s="45" t="str">
        <x:v>2000-05</x:v>
      </x:c>
      <x:c r="B16" s="45" t="n">
        <x:v>2000</x:v>
      </x:c>
      <x:c r="C16" s="45" t="str">
        <x:v>陳水扁</x:v>
      </x:c>
      <x:c r="D16" s="45" t="str">
        <x:v>經濟</x:v>
      </x:c>
      <x:c r="E16" s="46" t="str">
        <x:v>循此原則，民間的活力自然能夠蓬勃興盛，再創下一個階段的經濟奇蹟。</x:v>
      </x:c>
      <x:c r="F16" s="47" t="str">
        <x:v>是</x:v>
      </x:c>
      <x:c r="G16" s="47" t="str">
        <x:v>成長與競爭力</x:v>
      </x:c>
      <x:c r="H16" s="47" t="str">
        <x:v>政策背景與成果</x:v>
      </x:c>
      <x:c r="I16" s="47" t="str">
        <x:v>成長與競爭力、政策背景與成果</x:v>
      </x:c>
      <x:c r="J16" s="47" t="str">
        <x:v>知識經濟與產業升級</x:v>
      </x:c>
      <x:c r="K16" s="47" t="str">
        <x:v>已逐句初步編碼；可依研究問題調整</x:v>
      </x:c>
      <x:c r="L16" s="48" t="str">
        <x:v>https://www.president.gov.tw/NEWS/6742</x:v>
      </x:c>
    </x:row>
    <x:row r="17" ht="58" customHeight="1">
      <x:c r="A17" s="45" t="str">
        <x:v>2000-06</x:v>
      </x:c>
      <x:c r="B17" s="45" t="n">
        <x:v>2000</x:v>
      </x:c>
      <x:c r="C17" s="45" t="str">
        <x:v>陳水扁</x:v>
      </x:c>
      <x:c r="D17" s="45" t="str">
        <x:v>經濟</x:v>
      </x:c>
      <x:c r="E17" s="46" t="str">
        <x:v>除了鞏固民主的成果、推動政府的改造、提昇經濟的競爭力之外，新政府的首要施政目標應該是順應民意、厲行改革，讓這一塊土地上的人民生活得更有尊嚴、更有自信、更有品質。</x:v>
      </x:c>
      <x:c r="F17" s="47" t="str">
        <x:v>是</x:v>
      </x:c>
      <x:c r="G17" s="47" t="str">
        <x:v>成長與競爭力</x:v>
      </x:c>
      <x:c r="H17" s="47" t="str">
        <x:v>政策背景與成果</x:v>
      </x:c>
      <x:c r="I17" s="47" t="str">
        <x:v>成長與競爭力、政策背景與成果</x:v>
      </x:c>
      <x:c r="J17" s="47" t="str">
        <x:v>知識經濟與產業升級</x:v>
      </x:c>
      <x:c r="K17" s="47" t="str">
        <x:v>已逐句初步編碼；可依研究問題調整</x:v>
      </x:c>
      <x:c r="L17" s="48" t="str">
        <x:v>https://www.president.gov.tw/NEWS/6742</x:v>
      </x:c>
    </x:row>
    <x:row r="18" ht="58" customHeight="1">
      <x:c r="A18" s="45" t="str">
        <x:v>2000-07</x:v>
      </x:c>
      <x:c r="B18" s="45" t="n">
        <x:v>2000</x:v>
      </x:c>
      <x:c r="C18" s="45" t="str">
        <x:v>陳水扁</x:v>
      </x:c>
      <x:c r="D18" s="45" t="str">
        <x:v>成長</x:v>
      </x:c>
      <x:c r="E18" s="46" t="str">
        <x:v>讓我們的下一代在充滿希望與快樂的教育環境中學習，培養國民不斷成長的競爭力。</x:v>
      </x:c>
      <x:c r="F18" s="47" t="str">
        <x:v>否</x:v>
      </x:c>
      <x:c r="G18" s="47" t="str">
        <x:v>非經濟用法</x:v>
      </x:c>
      <x:c r="H18" s="47" t="str"/>
      <x:c r="I18" s="47" t="str">
        <x:v>詞形命中，但語意屬政治、教育、文化、個人成長或制度改革</x:v>
      </x:c>
      <x:c r="J18" s="47" t="str">
        <x:v>知識經濟與產業升級</x:v>
      </x:c>
      <x:c r="K18" s="47" t="str">
        <x:v>已逐句初步編碼；可依研究問題調整</x:v>
      </x:c>
      <x:c r="L18" s="48" t="str">
        <x:v>https://www.president.gov.tw/NEWS/6742</x:v>
      </x:c>
    </x:row>
    <x:row r="19" ht="58" customHeight="1">
      <x:c r="A19" s="45" t="str">
        <x:v>2000-08</x:v>
      </x:c>
      <x:c r="B19" s="45" t="n">
        <x:v>2000</x:v>
      </x:c>
      <x:c r="C19" s="45" t="str">
        <x:v>陳水扁</x:v>
      </x:c>
      <x:c r="D19" s="45" t="str">
        <x:v>經濟</x:v>
      </x:c>
      <x:c r="E19" s="46" t="str">
        <x:v>在生態保育與經濟發展之間取得相容的平衡點，讓台灣成為永續發展的綠色矽島。</x:v>
      </x:c>
      <x:c r="F19" s="47" t="str">
        <x:v>是</x:v>
      </x:c>
      <x:c r="G19" s="47" t="str">
        <x:v>永續與綠色轉型</x:v>
      </x:c>
      <x:c r="H19" s="47" t="str">
        <x:v>成長與競爭力、政策背景與成果</x:v>
      </x:c>
      <x:c r="I19" s="47" t="str">
        <x:v>永續與綠色轉型、成長與競爭力、政策背景與成果</x:v>
      </x:c>
      <x:c r="J19" s="47" t="str">
        <x:v>知識經濟與產業升級</x:v>
      </x:c>
      <x:c r="K19" s="47" t="str">
        <x:v>已逐句初步編碼；可依研究問題調整</x:v>
      </x:c>
      <x:c r="L19" s="48" t="str">
        <x:v>https://www.president.gov.tw/NEWS/6742</x:v>
      </x:c>
    </x:row>
    <x:row r="20" ht="58" customHeight="1">
      <x:c r="A20" s="45" t="str">
        <x:v>2000-09</x:v>
      </x:c>
      <x:c r="B20" s="45" t="n">
        <x:v>2000</x:v>
      </x:c>
      <x:c r="C20" s="45" t="str">
        <x:v>陳水扁</x:v>
      </x:c>
      <x:c r="D20" s="45" t="str">
        <x:v>創新</x:v>
      </x:c>
      <x:c r="E20" s="46" t="str">
        <x:v>我們將儘速凝聚朝野、學界與民間的共識，持續推動教改的希望工程，建立健康、積極、活潑、創新的教育體制，使台灣在激烈的國際競爭力之下，源源不斷地培育一流、優秀的人才。</x:v>
      </x:c>
      <x:c r="F20" s="47" t="str">
        <x:v>否</x:v>
      </x:c>
      <x:c r="G20" s="47" t="str">
        <x:v>非經濟用法</x:v>
      </x:c>
      <x:c r="H20" s="47" t="str"/>
      <x:c r="I20" s="47" t="str">
        <x:v>詞形命中，但語意屬政治、教育、文化、個人成長或制度改革</x:v>
      </x:c>
      <x:c r="J20" s="47" t="str">
        <x:v>知識經濟與產業升級</x:v>
      </x:c>
      <x:c r="K20" s="47" t="str">
        <x:v>已逐句初步編碼；可依研究問題調整</x:v>
      </x:c>
      <x:c r="L20" s="48" t="str">
        <x:v>https://www.president.gov.tw/NEWS/6742</x:v>
      </x:c>
    </x:row>
    <x:row r="21" ht="58" customHeight="1">
      <x:c r="A21" s="45" t="str">
        <x:v>2000-10</x:v>
      </x:c>
      <x:c r="B21" s="45" t="n">
        <x:v>2000</x:v>
      </x:c>
      <x:c r="C21" s="45" t="str">
        <x:v>陳水扁</x:v>
      </x:c>
      <x:c r="D21" s="45" t="str">
        <x:v>產業</x:v>
      </x:c>
      <x:c r="E21" s="46" t="str">
        <x:v>新政府對於災區的重建工作刻不容緩，包括產業的復甦和心靈的重建，必須做到最後一人的照顧、最後一處的重建完成為止。</x:v>
      </x:c>
      <x:c r="F21" s="47" t="str">
        <x:v>是</x:v>
      </x:c>
      <x:c r="G21" s="47" t="str">
        <x:v>產業升級與創新</x:v>
      </x:c>
      <x:c r="H21" s="47" t="str"/>
      <x:c r="I21" s="47" t="str">
        <x:v>產業升級與創新</x:v>
      </x:c>
      <x:c r="J21" s="47" t="str">
        <x:v>知識經濟與產業升級</x:v>
      </x:c>
      <x:c r="K21" s="47" t="str">
        <x:v>已逐句初步編碼；可依研究問題調整</x:v>
      </x:c>
      <x:c r="L21" s="48" t="str">
        <x:v>https://www.president.gov.tw/NEWS/6742</x:v>
      </x:c>
    </x:row>
    <x:row r="22" ht="58" customHeight="1">
      <x:c r="A22" s="45" t="str">
        <x:v>2000-11</x:v>
      </x:c>
      <x:c r="B22" s="45" t="n">
        <x:v>2000</x:v>
      </x:c>
      <x:c r="C22" s="45" t="str">
        <x:v>陳水扁</x:v>
      </x:c>
      <x:c r="D22" s="45" t="str">
        <x:v>經濟</x:v>
      </x:c>
      <x:c r="E22" s="46" t="str">
        <x:v>大陸在鄧小平先生與江澤民先生的領導下，創造了經濟開放的奇蹟；而台灣在半個世紀以來，不僅創造了經濟奇蹟，也締造了民主的政治奇蹟。</x:v>
      </x:c>
      <x:c r="F22" s="47" t="str">
        <x:v>是</x:v>
      </x:c>
      <x:c r="G22" s="47" t="str">
        <x:v>成長與競爭力</x:v>
      </x:c>
      <x:c r="H22" s="47" t="str">
        <x:v>政策背景與成果</x:v>
      </x:c>
      <x:c r="I22" s="47" t="str">
        <x:v>成長與競爭力、政策背景與成果</x:v>
      </x:c>
      <x:c r="J22" s="47" t="str">
        <x:v>知識經濟與產業升級</x:v>
      </x:c>
      <x:c r="K22" s="47" t="str">
        <x:v>已逐句初步編碼；可依研究問題調整</x:v>
      </x:c>
      <x:c r="L22" s="48" t="str">
        <x:v>https://www.president.gov.tw/NEWS/6742</x:v>
      </x:c>
    </x:row>
    <x:row r="23" ht="58" customHeight="1">
      <x:c r="A23" s="45" t="str">
        <x:v>2000-12</x:v>
      </x:c>
      <x:c r="B23" s="45" t="n">
        <x:v>2000</x:v>
      </x:c>
      <x:c r="C23" s="45" t="str">
        <x:v>陳水扁</x:v>
      </x:c>
      <x:c r="D23" s="45" t="str">
        <x:v>成長</x:v>
      </x:c>
      <x:c r="E23" s="46" t="str">
        <x:v>今天，阿扁以一個佃農之子、貧寒的出身，能夠在這一塊土地上奮鬥成長，歷經挫折與考驗，終於贏得人民的信賴，承擔起領導國家的重責大任。</x:v>
      </x:c>
      <x:c r="F23" s="47" t="str">
        <x:v>否</x:v>
      </x:c>
      <x:c r="G23" s="47" t="str">
        <x:v>非經濟用法</x:v>
      </x:c>
      <x:c r="H23" s="47" t="str"/>
      <x:c r="I23" s="47" t="str">
        <x:v>詞形命中，但語意屬政治、教育、文化、個人成長或制度改革</x:v>
      </x:c>
      <x:c r="J23" s="47" t="str">
        <x:v>知識經濟與產業升級</x:v>
      </x:c>
      <x:c r="K23" s="47" t="str">
        <x:v>已逐句初步編碼；可依研究問題調整</x:v>
      </x:c>
      <x:c r="L23" s="48" t="str">
        <x:v>https://www.president.gov.tw/NEWS/6742</x:v>
      </x:c>
    </x:row>
    <x:row r="24" ht="58" customHeight="1">
      <x:c r="A24" s="45" t="str">
        <x:v>2004-01</x:v>
      </x:c>
      <x:c r="B24" s="45" t="n">
        <x:v>2004</x:v>
      </x:c>
      <x:c r="C24" s="45" t="str">
        <x:v>陳水扁</x:v>
      </x:c>
      <x:c r="D24" s="45" t="str">
        <x:v>經濟</x:v>
      </x:c>
      <x:c r="E24" s="46" t="str">
        <x:v>團結台灣、穩定兩岸、安定社會、繁榮經濟，這些都是當前人民殷切的期待，也是政府未來施政的首要。</x:v>
      </x:c>
      <x:c r="F24" s="47" t="str">
        <x:v>是</x:v>
      </x:c>
      <x:c r="G24" s="47" t="str">
        <x:v>成長與競爭力</x:v>
      </x:c>
      <x:c r="H24" s="47" t="str">
        <x:v>政策背景與成果</x:v>
      </x:c>
      <x:c r="I24" s="47" t="str">
        <x:v>成長與競爭力、政策背景與成果</x:v>
      </x:c>
      <x:c r="J24" s="47" t="str">
        <x:v>經濟正義與全球定位</x:v>
      </x:c>
      <x:c r="K24" s="47" t="str">
        <x:v>已逐句初步編碼；可依研究問題調整</x:v>
      </x:c>
      <x:c r="L24" s="48" t="str">
        <x:v>https://www.president.gov.tw/NEWS/8491</x:v>
      </x:c>
    </x:row>
    <x:row r="25" ht="58" customHeight="1">
      <x:c r="A25" s="45" t="str">
        <x:v>2004-02</x:v>
      </x:c>
      <x:c r="B25" s="45" t="n">
        <x:v>2004</x:v>
      </x:c>
      <x:c r="C25" s="45" t="str">
        <x:v>陳水扁</x:v>
      </x:c>
      <x:c r="D25" s="45" t="str">
        <x:v>經濟</x:v>
      </x:c>
      <x:c r="E25" s="46" t="str">
        <x:v>現在付出的一切努力，是要讓我們的下一代生活在一個符合社會正義、經濟正義、司法正義、性別正義、以及國際正義的公義新台灣。</x:v>
      </x:c>
      <x:c r="F25" s="47" t="str">
        <x:v>是</x:v>
      </x:c>
      <x:c r="G25" s="47" t="str">
        <x:v>就業與分配</x:v>
      </x:c>
      <x:c r="H25" s="47" t="str">
        <x:v>政策背景與成果</x:v>
      </x:c>
      <x:c r="I25" s="47" t="str">
        <x:v>就業與分配、政策背景與成果</x:v>
      </x:c>
      <x:c r="J25" s="47" t="str">
        <x:v>經濟正義與全球定位</x:v>
      </x:c>
      <x:c r="K25" s="47" t="str">
        <x:v>已逐句初步編碼；可依研究問題調整</x:v>
      </x:c>
      <x:c r="L25" s="48" t="str">
        <x:v>https://www.president.gov.tw/NEWS/8491</x:v>
      </x:c>
    </x:row>
    <x:row r="26" ht="58" customHeight="1">
      <x:c r="A26" s="45" t="str">
        <x:v>2004-03</x:v>
      </x:c>
      <x:c r="B26" s="45" t="n">
        <x:v>2004</x:v>
      </x:c>
      <x:c r="C26" s="45" t="str">
        <x:v>陳水扁</x:v>
      </x:c>
      <x:c r="D26" s="45" t="str">
        <x:v>經濟</x:v>
      </x:c>
      <x:c r="E26" s="46" t="str">
        <x:v>其中，立即而明顯的問題包括：三權分立或五權憲法、總統制或內閣制、總統選制為相對多數或絕對多數、國會改革及相關的配套條文、國民大會的定位與存廢、省政府組織的存廢、投票年齡的降低、兵役制度的調整、基本人權與弱勢權益的保障、國民經濟條款……等，可以說是工程浩大、影響至深。</x:v>
      </x:c>
      <x:c r="F26" s="47" t="str">
        <x:v>是</x:v>
      </x:c>
      <x:c r="G26" s="47" t="str">
        <x:v>政策背景與成果</x:v>
      </x:c>
      <x:c r="H26" s="47" t="str"/>
      <x:c r="I26" s="47" t="str">
        <x:v>政策背景與成果</x:v>
      </x:c>
      <x:c r="J26" s="47" t="str">
        <x:v>經濟正義與全球定位</x:v>
      </x:c>
      <x:c r="K26" s="47" t="str">
        <x:v>已逐句初步編碼；可依研究問題調整</x:v>
      </x:c>
      <x:c r="L26" s="48" t="str">
        <x:v>https://www.president.gov.tw/NEWS/8491</x:v>
      </x:c>
    </x:row>
    <x:row r="27" ht="58" customHeight="1">
      <x:c r="A27" s="45" t="str">
        <x:v>2004-04</x:v>
      </x:c>
      <x:c r="B27" s="45" t="n">
        <x:v>2004</x:v>
      </x:c>
      <x:c r="C27" s="45" t="str">
        <x:v>陳水扁</x:v>
      </x:c>
      <x:c r="D27" s="45" t="str">
        <x:v>轉型</x:v>
      </x:c>
      <x:c r="E27" s="46" t="str">
        <x:v>二十一世紀的前二十年，不僅是台灣要全面向上提升的關鍵轉型期，也是中國大陸邁向民主化及自由化的機遇期，雙方的政府理應掌握機會全力打拼，放眼於全球競爭的趨勢，不要再虛耗於政治爭辯的僵局。</x:v>
      </x:c>
      <x:c r="F27" s="47" t="str">
        <x:v>否</x:v>
      </x:c>
      <x:c r="G27" s="47" t="str">
        <x:v>非經濟用法</x:v>
      </x:c>
      <x:c r="H27" s="47" t="str"/>
      <x:c r="I27" s="47" t="str">
        <x:v>詞形命中，但語意屬政治、教育、文化、個人成長或制度改革</x:v>
      </x:c>
      <x:c r="J27" s="47" t="str">
        <x:v>經濟正義與全球定位</x:v>
      </x:c>
      <x:c r="K27" s="47" t="str">
        <x:v>已逐句初步編碼；可依研究問題調整</x:v>
      </x:c>
      <x:c r="L27" s="48" t="str">
        <x:v>https://www.president.gov.tw/NEWS/8491</x:v>
      </x:c>
    </x:row>
    <x:row r="28" ht="58" customHeight="1">
      <x:c r="A28" s="45" t="str">
        <x:v>2004-05</x:v>
      </x:c>
      <x:c r="B28" s="45" t="n">
        <x:v>2004</x:v>
      </x:c>
      <x:c r="C28" s="45" t="str">
        <x:v>陳水扁</x:v>
      </x:c>
      <x:c r="D28" s="45" t="str">
        <x:v>經濟</x:v>
      </x:c>
      <x:c r="E28" s="46" t="str">
        <x:v>各位貴賓、親愛的國人同胞，攤開世界地圖來看，台澎金馬只是太平洋邊的幾個小島，但是如果仔細檢視這些島嶼上美麗的山河、多元的族群、多樣的生態，細數兩千三百萬人民過去幾個世紀所寫下的政治、經濟、文化篇章，你會發現猶如進入一部精彩豐富的百科全書。</x:v>
      </x:c>
      <x:c r="F28" s="47" t="str">
        <x:v>是</x:v>
      </x:c>
      <x:c r="G28" s="47" t="str">
        <x:v>政策背景與成果</x:v>
      </x:c>
      <x:c r="H28" s="47" t="str"/>
      <x:c r="I28" s="47" t="str">
        <x:v>政策背景與成果</x:v>
      </x:c>
      <x:c r="J28" s="47" t="str">
        <x:v>經濟正義與全球定位</x:v>
      </x:c>
      <x:c r="K28" s="47" t="str">
        <x:v>已逐句初步編碼；可依研究問題調整</x:v>
      </x:c>
      <x:c r="L28" s="48" t="str">
        <x:v>https://www.president.gov.tw/NEWS/8491</x:v>
      </x:c>
    </x:row>
    <x:row r="29" ht="58" customHeight="1">
      <x:c r="A29" s="45" t="str">
        <x:v>2008-01</x:v>
      </x:c>
      <x:c r="B29" s="45" t="n">
        <x:v>2008</x:v>
      </x:c>
      <x:c r="C29" s="45" t="str">
        <x:v>馬英九</x:v>
      </x:c>
      <x:c r="D29" s="45" t="str">
        <x:v>經濟、經濟安全</x:v>
      </x:c>
      <x:c r="E29" s="46" t="str">
        <x:v>在過去這一段波折的歲月裡，人民對政府的信賴跌到谷底，政治操作扭曲了社會的核心價值，人民失去了經濟安全感，台灣的國際支持也受到空前的折損。</x:v>
      </x:c>
      <x:c r="F29" s="47" t="str">
        <x:v>是</x:v>
      </x:c>
      <x:c r="G29" s="47" t="str">
        <x:v>政策背景與成果</x:v>
      </x:c>
      <x:c r="H29" s="47" t="str">
        <x:v>供應鏈與經濟安全</x:v>
      </x:c>
      <x:c r="I29" s="47" t="str">
        <x:v>政策背景與成果、供應鏈與經濟安全</x:v>
      </x:c>
      <x:c r="J29" s="47" t="str">
        <x:v>開放與全球布局</x:v>
      </x:c>
      <x:c r="K29" s="47" t="str">
        <x:v>已逐句初步編碼；可依研究問題調整</x:v>
      </x:c>
      <x:c r="L29" s="48" t="str">
        <x:v>https://www.president.gov.tw/NEWS/12226</x:v>
      </x:c>
    </x:row>
    <x:row r="30" ht="58" customHeight="1">
      <x:c r="A30" s="45" t="str">
        <x:v>2008-02</x:v>
      </x:c>
      <x:c r="B30" s="45" t="n">
        <x:v>2008</x:v>
      </x:c>
      <x:c r="C30" s="45" t="str">
        <x:v>馬英九</x:v>
      </x:c>
      <x:c r="D30" s="45" t="str">
        <x:v>經濟、成長</x:v>
      </x:c>
      <x:c r="E30" s="46" t="str">
        <x:v>值得慶幸的是，跟很多年輕的民主國家相比，我們民主成長的陣痛期並不算長，台灣人民卻能展現日趨成熟的民主風範，在關鍵時刻，作出明確的抉擇：人民選擇政治清廉、經濟開放、族群和諧、兩岸和平與迎向未來。</x:v>
      </x:c>
      <x:c r="F30" s="47" t="str">
        <x:v>否</x:v>
      </x:c>
      <x:c r="G30" s="47" t="str">
        <x:v>非經濟用法</x:v>
      </x:c>
      <x:c r="H30" s="47" t="str"/>
      <x:c r="I30" s="47" t="str">
        <x:v>詞形命中，但語意屬政治、教育、文化、個人成長或制度改革</x:v>
      </x:c>
      <x:c r="J30" s="47" t="str">
        <x:v>開放與全球布局</x:v>
      </x:c>
      <x:c r="K30" s="47" t="str">
        <x:v>已逐句初步編碼；可依研究問題調整</x:v>
      </x:c>
      <x:c r="L30" s="48" t="str">
        <x:v>https://www.president.gov.tw/NEWS/12226</x:v>
      </x:c>
    </x:row>
    <x:row r="31" ht="58" customHeight="1">
      <x:c r="A31" s="45" t="str">
        <x:v>2008-03</x:v>
      </x:c>
      <x:c r="B31" s="45" t="n">
        <x:v>2008</x:v>
      </x:c>
      <x:c r="C31" s="45" t="str">
        <x:v>馬英九</x:v>
      </x:c>
      <x:c r="D31" s="45" t="str">
        <x:v>成長</x:v>
      </x:c>
      <x:c r="E31" s="46" t="str">
        <x:v>這一段不平凡的民主成長經驗，讓我們獲得了「台灣是亞洲和世界民主的燈塔」的讚譽，值得所有台灣人引以為傲。</x:v>
      </x:c>
      <x:c r="F31" s="47" t="str">
        <x:v>否</x:v>
      </x:c>
      <x:c r="G31" s="47" t="str">
        <x:v>非經濟用法</x:v>
      </x:c>
      <x:c r="H31" s="47" t="str"/>
      <x:c r="I31" s="47" t="str">
        <x:v>詞形命中，但語意屬政治、教育、文化、個人成長或制度改革</x:v>
      </x:c>
      <x:c r="J31" s="47" t="str">
        <x:v>開放與全球布局</x:v>
      </x:c>
      <x:c r="K31" s="47" t="str">
        <x:v>已逐句初步編碼；可依研究問題調整</x:v>
      </x:c>
      <x:c r="L31" s="48" t="str">
        <x:v>https://www.president.gov.tw/NEWS/12226</x:v>
      </x:c>
    </x:row>
    <x:row r="32" ht="58" customHeight="1">
      <x:c r="A32" s="45" t="str">
        <x:v>2008-04</x:v>
      </x:c>
      <x:c r="B32" s="45" t="n">
        <x:v>2008</x:v>
      </x:c>
      <x:c r="C32" s="45" t="str">
        <x:v>馬英九</x:v>
      </x:c>
      <x:c r="D32" s="45" t="str">
        <x:v>經濟</x:v>
      </x:c>
      <x:c r="E32" s="46" t="str">
        <x:v>當前全球經濟正處於巨變之中，新興國家迅速崛起，我們必須快速提升台灣的國際競爭力，挽回過去流失的機會。</x:v>
      </x:c>
      <x:c r="F32" s="47" t="str">
        <x:v>是</x:v>
      </x:c>
      <x:c r="G32" s="47" t="str">
        <x:v>全球化與經貿整合</x:v>
      </x:c>
      <x:c r="H32" s="47" t="str">
        <x:v>成長與競爭力、政策背景與成果</x:v>
      </x:c>
      <x:c r="I32" s="47" t="str">
        <x:v>全球化與經貿整合、成長與競爭力、政策背景與成果</x:v>
      </x:c>
      <x:c r="J32" s="47" t="str">
        <x:v>開放與全球布局</x:v>
      </x:c>
      <x:c r="K32" s="47" t="str">
        <x:v>已逐句初步編碼；可依研究問題調整</x:v>
      </x:c>
      <x:c r="L32" s="48" t="str">
        <x:v>https://www.president.gov.tw/NEWS/12226</x:v>
      </x:c>
    </x:row>
    <x:row r="33" ht="58" customHeight="1">
      <x:c r="A33" s="45" t="str">
        <x:v>2008-05</x:v>
      </x:c>
      <x:c r="B33" s="45" t="n">
        <x:v>2008</x:v>
      </x:c>
      <x:c r="C33" s="45" t="str">
        <x:v>馬英九</x:v>
      </x:c>
      <x:c r="D33" s="45" t="str">
        <x:v>經濟</x:v>
      </x:c>
      <x:c r="E33" s="46" t="str">
        <x:v>當前全球經濟環境的不穩定，將是我們振興經濟必須克服的困難。</x:v>
      </x:c>
      <x:c r="F33" s="47" t="str">
        <x:v>是</x:v>
      </x:c>
      <x:c r="G33" s="47" t="str">
        <x:v>全球化與經貿整合</x:v>
      </x:c>
      <x:c r="H33" s="47" t="str">
        <x:v>成長與競爭力、政策背景與成果</x:v>
      </x:c>
      <x:c r="I33" s="47" t="str">
        <x:v>全球化與經貿整合、成長與競爭力、政策背景與成果</x:v>
      </x:c>
      <x:c r="J33" s="47" t="str">
        <x:v>開放與全球布局</x:v>
      </x:c>
      <x:c r="K33" s="47" t="str">
        <x:v>已逐句初步編碼；可依研究問題調整</x:v>
      </x:c>
      <x:c r="L33" s="48" t="str">
        <x:v>https://www.president.gov.tw/NEWS/12226</x:v>
      </x:c>
    </x:row>
    <x:row r="34" ht="58" customHeight="1">
      <x:c r="A34" s="45" t="str">
        <x:v>2008-06</x:v>
      </x:c>
      <x:c r="B34" s="45" t="n">
        <x:v>2008</x:v>
      </x:c>
      <x:c r="C34" s="45" t="str">
        <x:v>馬英九</x:v>
      </x:c>
      <x:c r="D34" s="45" t="str">
        <x:v>產業</x:v>
      </x:c>
      <x:c r="E34" s="46" t="str">
        <x:v>所以我們要堅持開放、大幅鬆綁、釋放民間的活力、發揮台灣的優勢；我們要引導企業立足台灣、聯結亞太、佈局全球；我們要協助勞工適應快速的科技變遷與產業調整；我們還要用心培育我們的下一代，讓他們具有健全人格、公民素養、國際視野與終身學習的能力，同時要排除各種意識形態對教育的不當干擾。</x:v>
      </x:c>
      <x:c r="F34" s="47" t="str">
        <x:v>是</x:v>
      </x:c>
      <x:c r="G34" s="47" t="str">
        <x:v>產業升級與創新</x:v>
      </x:c>
      <x:c r="H34" s="47" t="str"/>
      <x:c r="I34" s="47" t="str">
        <x:v>產業升級與創新</x:v>
      </x:c>
      <x:c r="J34" s="47" t="str">
        <x:v>開放與全球布局</x:v>
      </x:c>
      <x:c r="K34" s="47" t="str">
        <x:v>已逐句初步編碼；可依研究問題調整</x:v>
      </x:c>
      <x:c r="L34" s="48" t="str">
        <x:v>https://www.president.gov.tw/NEWS/12226</x:v>
      </x:c>
    </x:row>
    <x:row r="35" ht="58" customHeight="1">
      <x:c r="A35" s="45" t="str">
        <x:v>2008-07</x:v>
      </x:c>
      <x:c r="B35" s="45" t="n">
        <x:v>2008</x:v>
      </x:c>
      <x:c r="C35" s="45" t="str">
        <x:v>馬英九</x:v>
      </x:c>
      <x:c r="D35" s="45" t="str">
        <x:v>經濟</x:v>
      </x:c>
      <x:c r="E35" s="46" t="str">
        <x:v>中華民國將善盡她國際公民的責任，在維護自由經濟秩序、禁止核子擴散、防制全球暖化、遏阻恐怖活動、以及加強人道援助等全球議題上，承擔我們應負的責任。</x:v>
      </x:c>
      <x:c r="F35" s="47" t="str">
        <x:v>是</x:v>
      </x:c>
      <x:c r="G35" s="47" t="str">
        <x:v>政策背景與成果</x:v>
      </x:c>
      <x:c r="H35" s="47" t="str"/>
      <x:c r="I35" s="47" t="str">
        <x:v>政策背景與成果</x:v>
      </x:c>
      <x:c r="J35" s="47" t="str">
        <x:v>開放與全球布局</x:v>
      </x:c>
      <x:c r="K35" s="47" t="str">
        <x:v>已逐句初步編碼；可依研究問題調整</x:v>
      </x:c>
      <x:c r="L35" s="48" t="str">
        <x:v>https://www.president.gov.tw/NEWS/12226</x:v>
      </x:c>
    </x:row>
    <x:row r="36" ht="58" customHeight="1">
      <x:c r="A36" s="45" t="str">
        <x:v>2008-08</x:v>
      </x:c>
      <x:c r="B36" s="45" t="n">
        <x:v>2008</x:v>
      </x:c>
      <x:c r="C36" s="45" t="str">
        <x:v>馬英九</x:v>
      </x:c>
      <x:c r="D36" s="45" t="str">
        <x:v>經濟</x:v>
      </x:c>
      <x:c r="E36" s="46" t="str">
        <x:v>我們要積極參與亞太區域合作，進一步加強與主要貿易夥伴的經貿關係，全面融入東亞經濟整合，並對東亞的和平與繁榮作出積極貢獻。</x:v>
      </x:c>
      <x:c r="F36" s="47" t="str">
        <x:v>是</x:v>
      </x:c>
      <x:c r="G36" s="47" t="str">
        <x:v>全球化與經貿整合</x:v>
      </x:c>
      <x:c r="H36" s="47" t="str">
        <x:v>成長與競爭力、政策背景與成果</x:v>
      </x:c>
      <x:c r="I36" s="47" t="str">
        <x:v>全球化與經貿整合、成長與競爭力、政策背景與成果</x:v>
      </x:c>
      <x:c r="J36" s="47" t="str">
        <x:v>開放與全球布局</x:v>
      </x:c>
      <x:c r="K36" s="47" t="str">
        <x:v>已逐句初步編碼；可依研究問題調整</x:v>
      </x:c>
      <x:c r="L36" s="48" t="str">
        <x:v>https://www.president.gov.tw/NEWS/12226</x:v>
      </x:c>
    </x:row>
    <x:row r="37" ht="58" customHeight="1">
      <x:c r="A37" s="45" t="str">
        <x:v>2008-09</x:v>
      </x:c>
      <x:c r="B37" s="45" t="n">
        <x:v>2008</x:v>
      </x:c>
      <x:c r="C37" s="45" t="str">
        <x:v>馬英九</x:v>
      </x:c>
      <x:c r="D37" s="45" t="str">
        <x:v>成長</x:v>
      </x:c>
      <x:c r="E37" s="46" t="str">
        <x:v>英九雖然不是在台灣出生，但台灣是我成長的故鄉，是我親人埋骨的所在。</x:v>
      </x:c>
      <x:c r="F37" s="47" t="str">
        <x:v>否</x:v>
      </x:c>
      <x:c r="G37" s="47" t="str">
        <x:v>非經濟用法</x:v>
      </x:c>
      <x:c r="H37" s="47" t="str"/>
      <x:c r="I37" s="47" t="str">
        <x:v>詞形命中，但語意屬政治、教育、文化、個人成長或制度改革</x:v>
      </x:c>
      <x:c r="J37" s="47" t="str">
        <x:v>開放與全球布局</x:v>
      </x:c>
      <x:c r="K37" s="47" t="str">
        <x:v>已逐句初步編碼；可依研究問題調整</x:v>
      </x:c>
      <x:c r="L37" s="48" t="str">
        <x:v>https://www.president.gov.tw/NEWS/12226</x:v>
      </x:c>
    </x:row>
    <x:row r="38" ht="58" customHeight="1">
      <x:c r="A38" s="45" t="str">
        <x:v>2008-10</x:v>
      </x:c>
      <x:c r="B38" s="45" t="n">
        <x:v>2008</x:v>
      </x:c>
      <x:c r="C38" s="45" t="str">
        <x:v>馬英九</x:v>
      </x:c>
      <x:c r="D38" s="45" t="str">
        <x:v>創新</x:v>
      </x:c>
      <x:c r="E38" s="46" t="str">
        <x:v>我們繼承的種種歷史文化，不但在這片土地上得到延續，更得到擴充與創新，進而開創出豐盛多元的人文風景。</x:v>
      </x:c>
      <x:c r="F38" s="47" t="str">
        <x:v>否</x:v>
      </x:c>
      <x:c r="G38" s="47" t="str">
        <x:v>非經濟用法</x:v>
      </x:c>
      <x:c r="H38" s="47" t="str"/>
      <x:c r="I38" s="47" t="str">
        <x:v>詞形命中，但語意屬政治、教育、文化、個人成長或制度改革</x:v>
      </x:c>
      <x:c r="J38" s="47" t="str">
        <x:v>開放與全球布局</x:v>
      </x:c>
      <x:c r="K38" s="47" t="str">
        <x:v>已逐句初步編碼；可依研究問題調整</x:v>
      </x:c>
      <x:c r="L38" s="48" t="str">
        <x:v>https://www.president.gov.tw/NEWS/12226</x:v>
      </x:c>
    </x:row>
    <x:row r="39" ht="58" customHeight="1">
      <x:c r="A39" s="45" t="str">
        <x:v>2008-11</x:v>
      </x:c>
      <x:c r="B39" s="45" t="n">
        <x:v>2008</x:v>
      </x:c>
      <x:c r="C39" s="45" t="str">
        <x:v>馬英九</x:v>
      </x:c>
      <x:c r="D39" s="45" t="str">
        <x:v>創新</x:v>
      </x:c>
      <x:c r="E39" s="46" t="str">
        <x:v>盱衡時局，環顧東亞，台灣擁有絕佳的地理位置、珍貴的文化資產、深厚的人文素養、日漸成熟的民主、活力創新的企業、多元和諧的社會、活躍海內外的民間組織、遍佈全球的愛鄉僑民，以及來自世界各地的新移民。</x:v>
      </x:c>
      <x:c r="F39" s="47" t="str">
        <x:v>是</x:v>
      </x:c>
      <x:c r="G39" s="47" t="str">
        <x:v>產業升級與創新</x:v>
      </x:c>
      <x:c r="H39" s="47" t="str"/>
      <x:c r="I39" s="47" t="str">
        <x:v>產業升級與創新</x:v>
      </x:c>
      <x:c r="J39" s="47" t="str">
        <x:v>開放與全球布局</x:v>
      </x:c>
      <x:c r="K39" s="47" t="str">
        <x:v>已逐句初步編碼；可依研究問題調整</x:v>
      </x:c>
      <x:c r="L39" s="48" t="str">
        <x:v>https://www.president.gov.tw/NEWS/12226</x:v>
      </x:c>
    </x:row>
    <x:row r="40" ht="58" customHeight="1">
      <x:c r="A40" s="45" t="str">
        <x:v>2012-01</x:v>
      </x:c>
      <x:c r="B40" s="45" t="n">
        <x:v>2012</x:v>
      </x:c>
      <x:c r="C40" s="45" t="str">
        <x:v>馬英九</x:v>
      </x:c>
      <x:c r="D40" s="45" t="str">
        <x:v>經濟、成長</x:v>
      </x:c>
      <x:c r="E40" s="46" t="str">
        <x:v>我們共同度過金融海嘯的侵襲，讓臺灣經濟成長回到東亞四小龍的前列；我們共同走過八八水災的衝擊，重建我們的家園；我們導正政治風氣，守護憲法精神，提升司法的公正透明；我們完成中央政府精簡與縣市合併升格兩大改革工程；我們力行節能減碳、推動「居住正義」、大幅擴大社會安全網；我們締造了六十年來最和平的臺海情勢，贏得長期盟友的信賴與國際社會的肯定，讓中華民國國民在127個國家與地區，免簽證入境。</x:v>
      </x:c>
      <x:c r="F40" s="47" t="str">
        <x:v>是</x:v>
      </x:c>
      <x:c r="G40" s="47" t="str">
        <x:v>永續與綠色轉型</x:v>
      </x:c>
      <x:c r="H40" s="47" t="str">
        <x:v>全球化與經貿整合、成長與競爭力</x:v>
      </x:c>
      <x:c r="I40" s="47" t="str">
        <x:v>永續與綠色轉型、全球化與經貿整合、成長與競爭力</x:v>
      </x:c>
      <x:c r="J40" s="47" t="str">
        <x:v>成長、就業與產業優質化</x:v>
      </x:c>
      <x:c r="K40" s="47" t="str">
        <x:v>已逐句初步編碼；可依研究問題調整</x:v>
      </x:c>
      <x:c r="L40" s="48" t="str">
        <x:v>https://www.president.gov.tw/NEWS/16612</x:v>
      </x:c>
    </x:row>
    <x:row r="41" ht="58" customHeight="1">
      <x:c r="A41" s="45" t="str">
        <x:v>2012-02</x:v>
      </x:c>
      <x:c r="B41" s="45" t="n">
        <x:v>2012</x:v>
      </x:c>
      <x:c r="C41" s="45" t="str">
        <x:v>馬英九</x:v>
      </x:c>
      <x:c r="D41" s="45" t="str">
        <x:v>經濟、成長、就業</x:v>
      </x:c>
      <x:c r="E41" s="46" t="str">
        <x:v>政府將以「強化經濟成長動能」、「創造就業與落實社會公義」、「打造低碳綠能環境」、「厚植文化國力」、以及「積極培育延攬人才」作為國家發展的五大支柱，以全面提升臺灣的全球競爭力，讓臺灣在這四年脫胎換骨、邁向幸福。</x:v>
      </x:c>
      <x:c r="F41" s="47" t="str">
        <x:v>是</x:v>
      </x:c>
      <x:c r="G41" s="47" t="str">
        <x:v>永續與綠色轉型</x:v>
      </x:c>
      <x:c r="H41" s="47" t="str">
        <x:v>就業與分配、全球化與經貿整合</x:v>
      </x:c>
      <x:c r="I41" s="47" t="str">
        <x:v>永續與綠色轉型、就業與分配、全球化與經貿整合</x:v>
      </x:c>
      <x:c r="J41" s="47" t="str">
        <x:v>成長、就業與產業優質化</x:v>
      </x:c>
      <x:c r="K41" s="47" t="str">
        <x:v>已逐句初步編碼；可依研究問題調整</x:v>
      </x:c>
      <x:c r="L41" s="48" t="str">
        <x:v>https://www.president.gov.tw/NEWS/16612</x:v>
      </x:c>
    </x:row>
    <x:row r="42" ht="58" customHeight="1">
      <x:c r="A42" s="45" t="str">
        <x:v>2012-03</x:v>
      </x:c>
      <x:c r="B42" s="45" t="n">
        <x:v>2012</x:v>
      </x:c>
      <x:c r="C42" s="45" t="str">
        <x:v>馬英九</x:v>
      </x:c>
      <x:c r="D42" s="45" t="str">
        <x:v>經濟、成長</x:v>
      </x:c>
      <x:c r="E42" s="46" t="str">
        <x:v>強化經濟成長動能，是提升臺灣競爭力的第一大支柱。</x:v>
      </x:c>
      <x:c r="F42" s="47" t="str">
        <x:v>是</x:v>
      </x:c>
      <x:c r="G42" s="47" t="str">
        <x:v>成長與競爭力</x:v>
      </x:c>
      <x:c r="H42" s="47" t="str">
        <x:v>政策背景與成果</x:v>
      </x:c>
      <x:c r="I42" s="47" t="str">
        <x:v>成長與競爭力、政策背景與成果</x:v>
      </x:c>
      <x:c r="J42" s="47" t="str">
        <x:v>成長、就業與產業優質化</x:v>
      </x:c>
      <x:c r="K42" s="47" t="str">
        <x:v>已逐句初步編碼；可依研究問題調整</x:v>
      </x:c>
      <x:c r="L42" s="48" t="str">
        <x:v>https://www.president.gov.tw/NEWS/16612</x:v>
      </x:c>
    </x:row>
    <x:row r="43" ht="58" customHeight="1">
      <x:c r="A43" s="45" t="str">
        <x:v>2012-04</x:v>
      </x:c>
      <x:c r="B43" s="45" t="n">
        <x:v>2012</x:v>
      </x:c>
      <x:c r="C43" s="45" t="str">
        <x:v>馬英九</x:v>
      </x:c>
      <x:c r="D43" s="45" t="str">
        <x:v>經濟、產業</x:v>
      </x:c>
      <x:c r="E43" s="46" t="str">
        <x:v>動能的核心，在經濟環境自由化和產業結構優質化。</x:v>
      </x:c>
      <x:c r="F43" s="47" t="str">
        <x:v>是</x:v>
      </x:c>
      <x:c r="G43" s="47" t="str">
        <x:v>全球化與經貿整合</x:v>
      </x:c>
      <x:c r="H43" s="47" t="str">
        <x:v>產業升級與創新、成長與競爭力</x:v>
      </x:c>
      <x:c r="I43" s="47" t="str">
        <x:v>全球化與經貿整合、產業升級與創新、成長與競爭力</x:v>
      </x:c>
      <x:c r="J43" s="47" t="str">
        <x:v>成長、就業與產業優質化</x:v>
      </x:c>
      <x:c r="K43" s="47" t="str">
        <x:v>已逐句初步編碼；可依研究問題調整</x:v>
      </x:c>
      <x:c r="L43" s="48" t="str">
        <x:v>https://www.president.gov.tw/NEWS/16612</x:v>
      </x:c>
    </x:row>
    <x:row r="44" ht="58" customHeight="1">
      <x:c r="A44" s="45" t="str">
        <x:v>2012-05</x:v>
      </x:c>
      <x:c r="B44" s="45" t="n">
        <x:v>2012</x:v>
      </x:c>
      <x:c r="C44" s="45" t="str">
        <x:v>馬英九</x:v>
      </x:c>
      <x:c r="D44" s="45" t="str">
        <x:v>經濟</x:v>
      </x:c>
      <x:c r="E44" s="46" t="str">
        <x:v>面臨全球政治經濟秩序重組、經濟重心向亞洲移動的時代，我們必須改變保護主義的思維，翻修不合時宜的法制，排除貿易和投資的人為障礙，為臺灣打造一個真正自由開放、與國際社會接軌的經濟環境。</x:v>
      </x:c>
      <x:c r="F44" s="47" t="str">
        <x:v>是</x:v>
      </x:c>
      <x:c r="G44" s="47" t="str">
        <x:v>全球化與經貿整合</x:v>
      </x:c>
      <x:c r="H44" s="47" t="str">
        <x:v>成長與競爭力、政策背景與成果</x:v>
      </x:c>
      <x:c r="I44" s="47" t="str">
        <x:v>全球化與經貿整合、成長與競爭力、政策背景與成果</x:v>
      </x:c>
      <x:c r="J44" s="47" t="str">
        <x:v>成長、就業與產業優質化</x:v>
      </x:c>
      <x:c r="K44" s="47" t="str">
        <x:v>已逐句初步編碼；可依研究問題調整</x:v>
      </x:c>
      <x:c r="L44" s="48" t="str">
        <x:v>https://www.president.gov.tw/NEWS/16612</x:v>
      </x:c>
    </x:row>
    <x:row r="45" ht="58" customHeight="1">
      <x:c r="A45" s="45" t="str">
        <x:v>2012-06</x:v>
      </x:c>
      <x:c r="B45" s="45" t="n">
        <x:v>2012</x:v>
      </x:c>
      <x:c r="C45" s="45" t="str">
        <x:v>馬英九</x:v>
      </x:c>
      <x:c r="D45" s="45" t="str">
        <x:v>經濟</x:v>
      </x:c>
      <x:c r="E45" s="46" t="str">
        <x:v>我們正規劃設立「自由經濟示範區」，高雄就是其中之一，這是臺灣邁向「自由貿易島」關鍵的一步。</x:v>
      </x:c>
      <x:c r="F45" s="47" t="str">
        <x:v>是</x:v>
      </x:c>
      <x:c r="G45" s="47" t="str">
        <x:v>全球化與經貿整合</x:v>
      </x:c>
      <x:c r="H45" s="47" t="str">
        <x:v>政策背景與成果</x:v>
      </x:c>
      <x:c r="I45" s="47" t="str">
        <x:v>全球化與經貿整合、政策背景與成果</x:v>
      </x:c>
      <x:c r="J45" s="47" t="str">
        <x:v>成長、就業與產業優質化</x:v>
      </x:c>
      <x:c r="K45" s="47" t="str">
        <x:v>已逐句初步編碼；可依研究問題調整</x:v>
      </x:c>
      <x:c r="L45" s="48" t="str">
        <x:v>https://www.president.gov.tw/NEWS/16612</x:v>
      </x:c>
    </x:row>
    <x:row r="46" ht="58" customHeight="1">
      <x:c r="A46" s="45" t="str">
        <x:v>2012-07</x:v>
      </x:c>
      <x:c r="B46" s="45" t="n">
        <x:v>2012</x:v>
      </x:c>
      <x:c r="C46" s="45" t="str">
        <x:v>馬英九</x:v>
      </x:c>
      <x:c r="D46" s="45" t="str">
        <x:v>經濟</x:v>
      </x:c>
      <x:c r="E46" s="46" t="str">
        <x:v>我們要儘快完成「兩岸經濟合作架構協議」的後續協商，加速與新加坡、紐西蘭等重要貿易夥伴洽簽經濟合作協議，並在未來八年內做好加入「跨太平洋經濟夥伴協定」的準備，以掌握融入國際經貿體系的歷史機遇。</x:v>
      </x:c>
      <x:c r="F46" s="47" t="str">
        <x:v>是</x:v>
      </x:c>
      <x:c r="G46" s="47" t="str">
        <x:v>全球化與經貿整合</x:v>
      </x:c>
      <x:c r="H46" s="47" t="str">
        <x:v>政策背景與成果</x:v>
      </x:c>
      <x:c r="I46" s="47" t="str">
        <x:v>全球化與經貿整合、政策背景與成果</x:v>
      </x:c>
      <x:c r="J46" s="47" t="str">
        <x:v>成長、就業與產業優質化</x:v>
      </x:c>
      <x:c r="K46" s="47" t="str">
        <x:v>已逐句初步編碼；可依研究問題調整</x:v>
      </x:c>
      <x:c r="L46" s="48" t="str">
        <x:v>https://www.president.gov.tw/NEWS/16612</x:v>
      </x:c>
    </x:row>
    <x:row r="47" ht="58" customHeight="1">
      <x:c r="A47" s="45" t="str">
        <x:v>2012-08</x:v>
      </x:c>
      <x:c r="B47" s="45" t="n">
        <x:v>2012</x:v>
      </x:c>
      <x:c r="C47" s="45" t="str">
        <x:v>馬英九</x:v>
      </x:c>
      <x:c r="D47" s="45" t="str">
        <x:v>產業、成長</x:v>
      </x:c>
      <x:c r="E47" s="46" t="str">
        <x:v>我國的產業雖然曾經締造過輝煌的成績，但早已面臨成長瓶頸。</x:v>
      </x:c>
      <x:c r="F47" s="47" t="str">
        <x:v>是</x:v>
      </x:c>
      <x:c r="G47" s="47" t="str">
        <x:v>產業升級與創新</x:v>
      </x:c>
      <x:c r="H47" s="47" t="str">
        <x:v>成長與競爭力</x:v>
      </x:c>
      <x:c r="I47" s="47" t="str">
        <x:v>產業升級與創新、成長與競爭力</x:v>
      </x:c>
      <x:c r="J47" s="47" t="str">
        <x:v>成長、就業與產業優質化</x:v>
      </x:c>
      <x:c r="K47" s="47" t="str">
        <x:v>已逐句初步編碼；可依研究問題調整</x:v>
      </x:c>
      <x:c r="L47" s="48" t="str">
        <x:v>https://www.president.gov.tw/NEWS/16612</x:v>
      </x:c>
    </x:row>
    <x:row r="48" ht="58" customHeight="1">
      <x:c r="A48" s="45" t="str">
        <x:v>2012-09</x:v>
      </x:c>
      <x:c r="B48" s="45" t="n">
        <x:v>2012</x:v>
      </x:c>
      <x:c r="C48" s="45" t="str">
        <x:v>馬英九</x:v>
      </x:c>
      <x:c r="D48" s="45" t="str">
        <x:v>產業、創新</x:v>
      </x:c>
      <x:c r="E48" s="46" t="str">
        <x:v>未來我們要積極推動產業結構優質化，以過去強調效率的生產模式為基礎，積極發展「創新導向」與「價值創造」的新產業模式。</x:v>
      </x:c>
      <x:c r="F48" s="47" t="str">
        <x:v>是</x:v>
      </x:c>
      <x:c r="G48" s="47" t="str">
        <x:v>產業升級與創新</x:v>
      </x:c>
      <x:c r="H48" s="47" t="str">
        <x:v>政策背景與成果</x:v>
      </x:c>
      <x:c r="I48" s="47" t="str">
        <x:v>產業升級與創新、政策背景與成果</x:v>
      </x:c>
      <x:c r="J48" s="47" t="str">
        <x:v>成長、就業與產業優質化</x:v>
      </x:c>
      <x:c r="K48" s="47" t="str">
        <x:v>已逐句初步編碼；可依研究問題調整</x:v>
      </x:c>
      <x:c r="L48" s="48" t="str">
        <x:v>https://www.president.gov.tw/NEWS/16612</x:v>
      </x:c>
    </x:row>
    <x:row r="49" ht="58" customHeight="1">
      <x:c r="A49" s="45" t="str">
        <x:v>2012-10</x:v>
      </x:c>
      <x:c r="B49" s="45" t="n">
        <x:v>2012</x:v>
      </x:c>
      <x:c r="C49" s="45" t="str">
        <x:v>馬英九</x:v>
      </x:c>
      <x:c r="D49" s="45" t="str">
        <x:v>產業</x:v>
      </x:c>
      <x:c r="E49" s="46" t="str">
        <x:v>我們的策略是將服務的特質納入製造業，將科技與國際的元素引入服務業，而且建立傳統產業的特色。</x:v>
      </x:c>
      <x:c r="F49" s="47" t="str">
        <x:v>是</x:v>
      </x:c>
      <x:c r="G49" s="47" t="str">
        <x:v>產業升級與創新</x:v>
      </x:c>
      <x:c r="H49" s="47" t="str"/>
      <x:c r="I49" s="47" t="str">
        <x:v>產業升級與創新</x:v>
      </x:c>
      <x:c r="J49" s="47" t="str">
        <x:v>成長、就業與產業優質化</x:v>
      </x:c>
      <x:c r="K49" s="47" t="str">
        <x:v>已逐句初步編碼；可依研究問題調整</x:v>
      </x:c>
      <x:c r="L49" s="48" t="str">
        <x:v>https://www.president.gov.tw/NEWS/16612</x:v>
      </x:c>
    </x:row>
    <x:row r="50" ht="58" customHeight="1">
      <x:c r="A50" s="45" t="str">
        <x:v>2012-11</x:v>
      </x:c>
      <x:c r="B50" s="45" t="n">
        <x:v>2012</x:v>
      </x:c>
      <x:c r="C50" s="45" t="str">
        <x:v>馬英九</x:v>
      </x:c>
      <x:c r="D50" s="45" t="str">
        <x:v>經濟、產業</x:v>
      </x:c>
      <x:c r="E50" s="46" t="str">
        <x:v>唯有這樣，我們的產業才能更加多元，創造更高的附加價值；也唯有這樣，我們的產業才能真正脫胎換骨，並且在國際經濟體系中建立起無可取代的地位。</x:v>
      </x:c>
      <x:c r="F50" s="47" t="str">
        <x:v>是</x:v>
      </x:c>
      <x:c r="G50" s="47" t="str">
        <x:v>全球化與經貿整合</x:v>
      </x:c>
      <x:c r="H50" s="47" t="str">
        <x:v>產業升級與創新、政策背景與成果</x:v>
      </x:c>
      <x:c r="I50" s="47" t="str">
        <x:v>全球化與經貿整合、產業升級與創新、政策背景與成果</x:v>
      </x:c>
      <x:c r="J50" s="47" t="str">
        <x:v>成長、就業與產業優質化</x:v>
      </x:c>
      <x:c r="K50" s="47" t="str">
        <x:v>已逐句初步編碼；可依研究問題調整</x:v>
      </x:c>
      <x:c r="L50" s="48" t="str">
        <x:v>https://www.president.gov.tw/NEWS/16612</x:v>
      </x:c>
    </x:row>
    <x:row r="51" ht="58" customHeight="1">
      <x:c r="A51" s="45" t="str">
        <x:v>2012-12</x:v>
      </x:c>
      <x:c r="B51" s="45" t="n">
        <x:v>2012</x:v>
      </x:c>
      <x:c r="C51" s="45" t="str">
        <x:v>馬英九</x:v>
      </x:c>
      <x:c r="D51" s="45" t="str">
        <x:v>就業</x:v>
      </x:c>
      <x:c r="E51" s="46" t="str">
        <x:v>提升臺灣競爭力的第二大支柱，就是創造就業與落實社會公義。</x:v>
      </x:c>
      <x:c r="F51" s="47" t="str">
        <x:v>是</x:v>
      </x:c>
      <x:c r="G51" s="47" t="str">
        <x:v>就業與分配</x:v>
      </x:c>
      <x:c r="H51" s="47" t="str">
        <x:v>成長與競爭力</x:v>
      </x:c>
      <x:c r="I51" s="47" t="str">
        <x:v>就業與分配、成長與競爭力</x:v>
      </x:c>
      <x:c r="J51" s="47" t="str">
        <x:v>成長、就業與產業優質化</x:v>
      </x:c>
      <x:c r="K51" s="47" t="str">
        <x:v>已逐句初步編碼；可依研究問題調整</x:v>
      </x:c>
      <x:c r="L51" s="48" t="str">
        <x:v>https://www.president.gov.tw/NEWS/16612</x:v>
      </x:c>
    </x:row>
    <x:row r="52" ht="58" customHeight="1">
      <x:c r="A52" s="45" t="str">
        <x:v>2012-13</x:v>
      </x:c>
      <x:c r="B52" s="45" t="n">
        <x:v>2012</x:v>
      </x:c>
      <x:c r="C52" s="45" t="str">
        <x:v>馬英九</x:v>
      </x:c>
      <x:c r="D52" s="45" t="str">
        <x:v>經濟、成長、就業</x:v>
      </x:c>
      <x:c r="E52" s="46" t="str">
        <x:v>全球化的開放市場讓就業變成世界性的競爭，我們要追求經濟成長，才能創造更多的就業機會；經濟成長必須促使各行各業的薪資同步調升，否則經濟成長就沒有意義。</x:v>
      </x:c>
      <x:c r="F52" s="47" t="str">
        <x:v>是</x:v>
      </x:c>
      <x:c r="G52" s="47" t="str">
        <x:v>就業與分配</x:v>
      </x:c>
      <x:c r="H52" s="47" t="str">
        <x:v>成長與競爭力、政策背景與成果</x:v>
      </x:c>
      <x:c r="I52" s="47" t="str">
        <x:v>就業與分配、成長與競爭力、政策背景與成果</x:v>
      </x:c>
      <x:c r="J52" s="47" t="str">
        <x:v>成長、就業與產業優質化</x:v>
      </x:c>
      <x:c r="K52" s="47" t="str">
        <x:v>已逐句初步編碼；可依研究問題調整</x:v>
      </x:c>
      <x:c r="L52" s="48" t="str">
        <x:v>https://www.president.gov.tw/NEWS/16612</x:v>
      </x:c>
    </x:row>
    <x:row r="53" ht="58" customHeight="1">
      <x:c r="A53" s="45" t="str">
        <x:v>2012-14</x:v>
      </x:c>
      <x:c r="B53" s="45" t="n">
        <x:v>2012</x:v>
      </x:c>
      <x:c r="C53" s="45" t="str">
        <x:v>馬英九</x:v>
      </x:c>
      <x:c r="D53" s="45" t="str">
        <x:v>經濟、成長</x:v>
      </x:c>
      <x:c r="E53" s="46" t="str">
        <x:v>我們更要堅持公平正義，縮短貧富差距，讓經濟成長的果實，由全民共享。</x:v>
      </x:c>
      <x:c r="F53" s="47" t="str">
        <x:v>是</x:v>
      </x:c>
      <x:c r="G53" s="47" t="str">
        <x:v>就業與分配</x:v>
      </x:c>
      <x:c r="H53" s="47" t="str">
        <x:v>成長與競爭力、政策背景與成果</x:v>
      </x:c>
      <x:c r="I53" s="47" t="str">
        <x:v>就業與分配、成長與競爭力、政策背景與成果</x:v>
      </x:c>
      <x:c r="J53" s="47" t="str">
        <x:v>成長、就業與產業優質化</x:v>
      </x:c>
      <x:c r="K53" s="47" t="str">
        <x:v>已逐句初步編碼；可依研究問題調整</x:v>
      </x:c>
      <x:c r="L53" s="48" t="str">
        <x:v>https://www.president.gov.tw/NEWS/16612</x:v>
      </x:c>
    </x:row>
    <x:row r="54" ht="58" customHeight="1">
      <x:c r="A54" s="45" t="str">
        <x:v>2012-15</x:v>
      </x:c>
      <x:c r="B54" s="45" t="n">
        <x:v>2012</x:v>
      </x:c>
      <x:c r="C54" s="45" t="str">
        <x:v>馬英九</x:v>
      </x:c>
      <x:c r="D54" s="45" t="str">
        <x:v>產業</x:v>
      </x:c>
      <x:c r="E54" s="46" t="str">
        <x:v>未來全球所有的產業都將強調綠色生產，綠色產業是未來產業競爭的新領域，消費型態也必須符合節能減碳的要求。</x:v>
      </x:c>
      <x:c r="F54" s="47" t="str">
        <x:v>是</x:v>
      </x:c>
      <x:c r="G54" s="47" t="str">
        <x:v>永續與綠色轉型</x:v>
      </x:c>
      <x:c r="H54" s="47" t="str">
        <x:v>產業升級與創新</x:v>
      </x:c>
      <x:c r="I54" s="47" t="str">
        <x:v>永續與綠色轉型、產業升級與創新</x:v>
      </x:c>
      <x:c r="J54" s="47" t="str">
        <x:v>成長、就業與產業優質化</x:v>
      </x:c>
      <x:c r="K54" s="47" t="str">
        <x:v>已逐句初步編碼；可依研究問題調整</x:v>
      </x:c>
      <x:c r="L54" s="48" t="str">
        <x:v>https://www.president.gov.tw/NEWS/16612</x:v>
      </x:c>
    </x:row>
    <x:row r="55" ht="58" customHeight="1">
      <x:c r="A55" s="45" t="str">
        <x:v>2012-16</x:v>
      </x:c>
      <x:c r="B55" s="45" t="n">
        <x:v>2012</x:v>
      </x:c>
      <x:c r="C55" s="45" t="str">
        <x:v>馬英九</x:v>
      </x:c>
      <x:c r="D55" s="45" t="str">
        <x:v>產業、成長、就業</x:v>
      </x:c>
      <x:c r="E55" s="46" t="str">
        <x:v>因此我們將鼓勵民間擴大對綠能產業、綠色建築與綠色生產的研發與投資，讓綠色產業成為帶動就業與成長的新亮點，讓臺灣一步步成為「低碳綠能島」。</x:v>
      </x:c>
      <x:c r="F55" s="47" t="str">
        <x:v>是</x:v>
      </x:c>
      <x:c r="G55" s="47" t="str">
        <x:v>永續與綠色轉型</x:v>
      </x:c>
      <x:c r="H55" s="47" t="str">
        <x:v>就業與分配、產業升級與創新</x:v>
      </x:c>
      <x:c r="I55" s="47" t="str">
        <x:v>永續與綠色轉型、就業與分配、產業升級與創新</x:v>
      </x:c>
      <x:c r="J55" s="47" t="str">
        <x:v>成長、就業與產業優質化</x:v>
      </x:c>
      <x:c r="K55" s="47" t="str">
        <x:v>已逐句初步編碼；可依研究問題調整</x:v>
      </x:c>
      <x:c r="L55" s="48" t="str">
        <x:v>https://www.president.gov.tw/NEWS/16612</x:v>
      </x:c>
    </x:row>
    <x:row r="56" ht="58" customHeight="1">
      <x:c r="A56" s="45" t="str">
        <x:v>2012-17</x:v>
      </x:c>
      <x:c r="B56" s="45" t="n">
        <x:v>2012</x:v>
      </x:c>
      <x:c r="C56" s="45" t="str">
        <x:v>馬英九</x:v>
      </x:c>
      <x:c r="D56" s="45" t="str">
        <x:v>產業</x:v>
      </x:c>
      <x:c r="E56" s="46" t="str">
        <x:v>在政策上，我們要讓能源價格合理化，創造節能減碳與促進投資綠能產業的動力。</x:v>
      </x:c>
      <x:c r="F56" s="47" t="str">
        <x:v>是</x:v>
      </x:c>
      <x:c r="G56" s="47" t="str">
        <x:v>永續與綠色轉型</x:v>
      </x:c>
      <x:c r="H56" s="47" t="str">
        <x:v>產業升級與創新、成長與競爭力</x:v>
      </x:c>
      <x:c r="I56" s="47" t="str">
        <x:v>永續與綠色轉型、產業升級與創新、成長與競爭力</x:v>
      </x:c>
      <x:c r="J56" s="47" t="str">
        <x:v>成長、就業與產業優質化</x:v>
      </x:c>
      <x:c r="K56" s="47" t="str">
        <x:v>已逐句初步編碼；可依研究問題調整</x:v>
      </x:c>
      <x:c r="L56" s="48" t="str">
        <x:v>https://www.president.gov.tw/NEWS/16612</x:v>
      </x:c>
    </x:row>
    <x:row r="57" ht="58" customHeight="1">
      <x:c r="A57" s="45" t="str">
        <x:v>2012-18</x:v>
      </x:c>
      <x:c r="B57" s="45" t="n">
        <x:v>2012</x:v>
      </x:c>
      <x:c r="C57" s="45" t="str">
        <x:v>馬英九</x:v>
      </x:c>
      <x:c r="D57" s="45" t="str">
        <x:v>產業</x:v>
      </x:c>
      <x:c r="E57" s="46" t="str">
        <x:v>開放的社會才會有奔放的創意，自由的環境才容許大膽的想像；臺灣的創意注入電影、流行音樂、圖書出版等等，成為文化產業，也都在華文世界有舉足輕重的地位。</x:v>
      </x:c>
      <x:c r="F57" s="47" t="str">
        <x:v>是</x:v>
      </x:c>
      <x:c r="G57" s="47" t="str">
        <x:v>產業升級與創新</x:v>
      </x:c>
      <x:c r="H57" s="47" t="str">
        <x:v>政策背景與成果</x:v>
      </x:c>
      <x:c r="I57" s="47" t="str">
        <x:v>產業升級與創新、政策背景與成果</x:v>
      </x:c>
      <x:c r="J57" s="47" t="str">
        <x:v>成長、就業與產業優質化</x:v>
      </x:c>
      <x:c r="K57" s="47" t="str">
        <x:v>已逐句初步編碼；可依研究問題調整</x:v>
      </x:c>
      <x:c r="L57" s="48" t="str">
        <x:v>https://www.president.gov.tw/NEWS/16612</x:v>
      </x:c>
    </x:row>
    <x:row r="58" ht="58" customHeight="1">
      <x:c r="A58" s="45" t="str">
        <x:v>2012-19</x:v>
      </x:c>
      <x:c r="B58" s="45" t="n">
        <x:v>2012</x:v>
      </x:c>
      <x:c r="C58" s="45" t="str">
        <x:v>馬英九</x:v>
      </x:c>
      <x:c r="D58" s="45" t="str">
        <x:v>經濟、產業</x:v>
      </x:c>
      <x:c r="E58" s="46" t="str">
        <x:v>但是產業必須要有整合工具，把文化價值與內容，透過創意加值與智慧財產機制，轉換成行銷全球的經濟產值，而讓經濟產值又回頭來灌溉我們的創作者。</x:v>
      </x:c>
      <x:c r="F58" s="47" t="str">
        <x:v>是</x:v>
      </x:c>
      <x:c r="G58" s="47" t="str">
        <x:v>產業升級與創新</x:v>
      </x:c>
      <x:c r="H58" s="47" t="str">
        <x:v>政策背景與成果</x:v>
      </x:c>
      <x:c r="I58" s="47" t="str">
        <x:v>產業升級與創新、政策背景與成果</x:v>
      </x:c>
      <x:c r="J58" s="47" t="str">
        <x:v>成長、就業與產業優質化</x:v>
      </x:c>
      <x:c r="K58" s="47" t="str">
        <x:v>已逐句初步編碼；可依研究問題調整</x:v>
      </x:c>
      <x:c r="L58" s="48" t="str">
        <x:v>https://www.president.gov.tw/NEWS/16612</x:v>
      </x:c>
    </x:row>
    <x:row r="59" ht="58" customHeight="1">
      <x:c r="A59" s="45" t="str">
        <x:v>2012-20</x:v>
      </x:c>
      <x:c r="B59" s="45" t="n">
        <x:v>2012</x:v>
      </x:c>
      <x:c r="C59" s="45" t="str">
        <x:v>馬英九</x:v>
      </x:c>
      <x:c r="D59" s="45" t="str">
        <x:v>產業</x:v>
      </x:c>
      <x:c r="E59" s="46" t="str">
        <x:v>文化不只是藝文、創意與產業，文化也是人民日常生活的一部分。</x:v>
      </x:c>
      <x:c r="F59" s="47" t="str">
        <x:v>是</x:v>
      </x:c>
      <x:c r="G59" s="47" t="str">
        <x:v>產業升級與創新</x:v>
      </x:c>
      <x:c r="H59" s="47" t="str"/>
      <x:c r="I59" s="47" t="str">
        <x:v>產業升級與創新</x:v>
      </x:c>
      <x:c r="J59" s="47" t="str">
        <x:v>成長、就業與產業優質化</x:v>
      </x:c>
      <x:c r="K59" s="47" t="str">
        <x:v>已逐句初步編碼；可依研究問題調整</x:v>
      </x:c>
      <x:c r="L59" s="48" t="str">
        <x:v>https://www.president.gov.tw/NEWS/16612</x:v>
      </x:c>
    </x:row>
    <x:row r="60" ht="58" customHeight="1">
      <x:c r="A60" s="45" t="str">
        <x:v>2012-21</x:v>
      </x:c>
      <x:c r="B60" s="45" t="n">
        <x:v>2012</x:v>
      </x:c>
      <x:c r="C60" s="45" t="str">
        <x:v>馬英九</x:v>
      </x:c>
      <x:c r="D60" s="45" t="str">
        <x:v>成長</x:v>
      </x:c>
      <x:c r="E60" s="46" t="str">
        <x:v>英九衷心期盼中國大陸的政治參與逐步開放，人權與法治日漸完善，公民社會自主成長，以進一步縮短兩岸人民的心理距離。</x:v>
      </x:c>
      <x:c r="F60" s="47" t="str">
        <x:v>否</x:v>
      </x:c>
      <x:c r="G60" s="47" t="str">
        <x:v>非經濟用法</x:v>
      </x:c>
      <x:c r="H60" s="47" t="str"/>
      <x:c r="I60" s="47" t="str">
        <x:v>詞形命中，但語意屬政治、教育、文化、個人成長或制度改革</x:v>
      </x:c>
      <x:c r="J60" s="47" t="str">
        <x:v>成長、就業與產業優質化</x:v>
      </x:c>
      <x:c r="K60" s="47" t="str">
        <x:v>已逐句初步編碼；可依研究問題調整</x:v>
      </x:c>
      <x:c r="L60" s="48" t="str">
        <x:v>https://www.president.gov.tw/NEWS/16612</x:v>
      </x:c>
    </x:row>
    <x:row r="61" ht="58" customHeight="1">
      <x:c r="A61" s="45" t="str">
        <x:v>2012-22</x:v>
      </x:c>
      <x:c r="B61" s="45" t="n">
        <x:v>2012</x:v>
      </x:c>
      <x:c r="C61" s="45" t="str">
        <x:v>馬英九</x:v>
      </x:c>
      <x:c r="D61" s="45" t="str">
        <x:v>經濟</x:v>
      </x:c>
      <x:c r="E61" s="46" t="str">
        <x:v>我們與美國重建互信，強化溝通管道，在許多領域緊密合作，已建構三十年來最堅實的「安全與經濟夥伴關係」。</x:v>
      </x:c>
      <x:c r="F61" s="47" t="str">
        <x:v>是</x:v>
      </x:c>
      <x:c r="G61" s="47" t="str">
        <x:v>政策背景與成果</x:v>
      </x:c>
      <x:c r="H61" s="47" t="str"/>
      <x:c r="I61" s="47" t="str">
        <x:v>政策背景與成果</x:v>
      </x:c>
      <x:c r="J61" s="47" t="str">
        <x:v>成長、就業與產業優質化</x:v>
      </x:c>
      <x:c r="K61" s="47" t="str">
        <x:v>已逐句初步編碼；可依研究問題調整</x:v>
      </x:c>
      <x:c r="L61" s="48" t="str">
        <x:v>https://www.president.gov.tw/NEWS/16612</x:v>
      </x:c>
    </x:row>
    <x:row r="62" ht="58" customHeight="1">
      <x:c r="A62" s="45" t="str">
        <x:v>2012-23</x:v>
      </x:c>
      <x:c r="B62" s="45" t="n">
        <x:v>2012</x:v>
      </x:c>
      <x:c r="C62" s="45" t="str">
        <x:v>馬英九</x:v>
      </x:c>
      <x:c r="D62" s="45" t="str">
        <x:v>創新</x:v>
      </x:c>
      <x:c r="E62" s="46" t="str">
        <x:v>未來四年，我們仍將向外採購無法自製的防衛性武器，也將完善募兵制及相關配套，在「防衛固守、有效嚇阻」的戰略下，以「創新、不對稱」思維，建立量少但質精的堅強國防武力。</x:v>
      </x:c>
      <x:c r="F62" s="47" t="str">
        <x:v>否</x:v>
      </x:c>
      <x:c r="G62" s="47" t="str">
        <x:v>非經濟用法</x:v>
      </x:c>
      <x:c r="H62" s="47" t="str"/>
      <x:c r="I62" s="47" t="str">
        <x:v>詞形命中，但語意屬政治、教育、文化、個人成長或制度改革</x:v>
      </x:c>
      <x:c r="J62" s="47" t="str">
        <x:v>成長、就業與產業優質化</x:v>
      </x:c>
      <x:c r="K62" s="47" t="str">
        <x:v>已逐句初步編碼；可依研究問題調整</x:v>
      </x:c>
      <x:c r="L62" s="48" t="str">
        <x:v>https://www.president.gov.tw/NEWS/16612</x:v>
      </x:c>
    </x:row>
    <x:row r="63" ht="58" customHeight="1">
      <x:c r="A63" s="45" t="str">
        <x:v>2016-01</x:v>
      </x:c>
      <x:c r="B63" s="45" t="n">
        <x:v>2016</x:v>
      </x:c>
      <x:c r="C63" s="45" t="str">
        <x:v>蔡英文</x:v>
      </x:c>
      <x:c r="D63" s="45" t="str">
        <x:v>經濟</x:v>
      </x:c>
      <x:c r="E63" s="46" t="str">
        <x:v>我們的能源與資源十分有限，我們的經濟缺乏動能，舊的代工模式已經面臨瓶頸，整個國家極需要新的經濟發展模式。</x:v>
      </x:c>
      <x:c r="F63" s="47" t="str">
        <x:v>是</x:v>
      </x:c>
      <x:c r="G63" s="47" t="str">
        <x:v>永續與綠色轉型</x:v>
      </x:c>
      <x:c r="H63" s="47" t="str">
        <x:v>成長與競爭力、政策背景與成果</x:v>
      </x:c>
      <x:c r="I63" s="47" t="str">
        <x:v>永續與綠色轉型、成長與競爭力、政策背景與成果</x:v>
      </x:c>
      <x:c r="J63" s="47" t="str">
        <x:v>結構轉型與市場多元化</x:v>
      </x:c>
      <x:c r="K63" s="47" t="str">
        <x:v>已逐句初步編碼；可依研究問題調整</x:v>
      </x:c>
      <x:c r="L63" s="48" t="str">
        <x:v>https://www.president.gov.tw/NEWS/20444</x:v>
      </x:c>
    </x:row>
    <x:row r="64" ht="58" customHeight="1">
      <x:c r="A64" s="45" t="str">
        <x:v>2016-02</x:v>
      </x:c>
      <x:c r="B64" s="45" t="n">
        <x:v>2016</x:v>
      </x:c>
      <x:c r="C64" s="45" t="str">
        <x:v>蔡英文</x:v>
      </x:c>
      <x:c r="D64" s="45" t="str">
        <x:v>經濟、轉型</x:v>
      </x:c>
      <x:c r="E64" s="46" t="str">
        <x:v>第一、經濟結構的轉型要打造一個更好的國家，未來，新政府要做好幾件事。</x:v>
      </x:c>
      <x:c r="F64" s="47" t="str">
        <x:v>是</x:v>
      </x:c>
      <x:c r="G64" s="47" t="str">
        <x:v>產業升級與創新</x:v>
      </x:c>
      <x:c r="H64" s="47" t="str">
        <x:v>政策背景與成果</x:v>
      </x:c>
      <x:c r="I64" s="47" t="str">
        <x:v>產業升級與創新、政策背景與成果</x:v>
      </x:c>
      <x:c r="J64" s="47" t="str">
        <x:v>結構轉型與市場多元化</x:v>
      </x:c>
      <x:c r="K64" s="47" t="str">
        <x:v>已逐句初步編碼；可依研究問題調整</x:v>
      </x:c>
      <x:c r="L64" s="48" t="str">
        <x:v>https://www.president.gov.tw/NEWS/20444</x:v>
      </x:c>
    </x:row>
    <x:row r="65" ht="58" customHeight="1">
      <x:c r="A65" s="45" t="str">
        <x:v>2016-03</x:v>
      </x:c>
      <x:c r="B65" s="45" t="n">
        <x:v>2016</x:v>
      </x:c>
      <x:c r="C65" s="45" t="str">
        <x:v>蔡英文</x:v>
      </x:c>
      <x:c r="D65" s="45" t="str">
        <x:v>經濟、轉型</x:v>
      </x:c>
      <x:c r="E65" s="46" t="str">
        <x:v>首先，就是讓臺灣的經濟結構轉型。</x:v>
      </x:c>
      <x:c r="F65" s="47" t="str">
        <x:v>是</x:v>
      </x:c>
      <x:c r="G65" s="47" t="str">
        <x:v>產業升級與創新</x:v>
      </x:c>
      <x:c r="H65" s="47" t="str">
        <x:v>政策背景與成果</x:v>
      </x:c>
      <x:c r="I65" s="47" t="str">
        <x:v>產業升級與創新、政策背景與成果</x:v>
      </x:c>
      <x:c r="J65" s="47" t="str">
        <x:v>結構轉型與市場多元化</x:v>
      </x:c>
      <x:c r="K65" s="47" t="str">
        <x:v>已逐句初步編碼；可依研究問題調整</x:v>
      </x:c>
      <x:c r="L65" s="48" t="str">
        <x:v>https://www.president.gov.tw/NEWS/20444</x:v>
      </x:c>
    </x:row>
    <x:row r="66" ht="58" customHeight="1">
      <x:c r="A66" s="45" t="str">
        <x:v>2016-04</x:v>
      </x:c>
      <x:c r="B66" s="45" t="n">
        <x:v>2016</x:v>
      </x:c>
      <x:c r="C66" s="45" t="str">
        <x:v>蔡英文</x:v>
      </x:c>
      <x:c r="D66" s="45" t="str">
        <x:v>經濟、產業</x:v>
      </x:c>
      <x:c r="E66" s="46" t="str">
        <x:v>臺灣有很多別的國家沒有的優勢，我們有海洋經濟的活力和靭性、務實可靠的工程師文化、完整的產業鏈、敏捷靈活的中小企業，以及，永不屈服的創業精神。</x:v>
      </x:c>
      <x:c r="F66" s="47" t="str">
        <x:v>是</x:v>
      </x:c>
      <x:c r="G66" s="47" t="str">
        <x:v>產業升級與創新</x:v>
      </x:c>
      <x:c r="H66" s="47" t="str">
        <x:v>政策背景與成果</x:v>
      </x:c>
      <x:c r="I66" s="47" t="str">
        <x:v>產業升級與創新、政策背景與成果</x:v>
      </x:c>
      <x:c r="J66" s="47" t="str">
        <x:v>結構轉型與市場多元化</x:v>
      </x:c>
      <x:c r="K66" s="47" t="str">
        <x:v>已逐句初步編碼；可依研究問題調整</x:v>
      </x:c>
      <x:c r="L66" s="48" t="str">
        <x:v>https://www.president.gov.tw/NEWS/20444</x:v>
      </x:c>
    </x:row>
    <x:row r="67" ht="58" customHeight="1">
      <x:c r="A67" s="45" t="str">
        <x:v>2016-05</x:v>
      </x:c>
      <x:c r="B67" s="45" t="n">
        <x:v>2016</x:v>
      </x:c>
      <x:c r="C67" s="45" t="str">
        <x:v>蔡英文</x:v>
      </x:c>
      <x:c r="D67" s="45" t="str">
        <x:v>經濟</x:v>
      </x:c>
      <x:c r="E67" s="46" t="str">
        <x:v>我們要讓臺灣經濟脫胎換骨，就必須從現在起就下定決心，勇敢地走出另外一條路。</x:v>
      </x:c>
      <x:c r="F67" s="47" t="str">
        <x:v>是</x:v>
      </x:c>
      <x:c r="G67" s="47" t="str">
        <x:v>政策背景與成果</x:v>
      </x:c>
      <x:c r="H67" s="47" t="str"/>
      <x:c r="I67" s="47" t="str">
        <x:v>政策背景與成果</x:v>
      </x:c>
      <x:c r="J67" s="47" t="str">
        <x:v>結構轉型與市場多元化</x:v>
      </x:c>
      <x:c r="K67" s="47" t="str">
        <x:v>已逐句初步編碼；可依研究問題調整</x:v>
      </x:c>
      <x:c r="L67" s="48" t="str">
        <x:v>https://www.president.gov.tw/NEWS/20444</x:v>
      </x:c>
    </x:row>
    <x:row r="68" ht="58" customHeight="1">
      <x:c r="A68" s="45" t="str">
        <x:v>2016-06</x:v>
      </x:c>
      <x:c r="B68" s="45" t="n">
        <x:v>2016</x:v>
      </x:c>
      <x:c r="C68" s="45" t="str">
        <x:v>蔡英文</x:v>
      </x:c>
      <x:c r="D68" s="45" t="str">
        <x:v>經濟</x:v>
      </x:c>
      <x:c r="E68" s="46" t="str">
        <x:v>這一條路，就是打造臺灣經濟發展的新模式。</x:v>
      </x:c>
      <x:c r="F68" s="47" t="str">
        <x:v>是</x:v>
      </x:c>
      <x:c r="G68" s="47" t="str">
        <x:v>成長與競爭力</x:v>
      </x:c>
      <x:c r="H68" s="47" t="str">
        <x:v>政策背景與成果</x:v>
      </x:c>
      <x:c r="I68" s="47" t="str">
        <x:v>成長與競爭力、政策背景與成果</x:v>
      </x:c>
      <x:c r="J68" s="47" t="str">
        <x:v>結構轉型與市場多元化</x:v>
      </x:c>
      <x:c r="K68" s="47" t="str">
        <x:v>已逐句初步編碼；可依研究問題調整</x:v>
      </x:c>
      <x:c r="L68" s="48" t="str">
        <x:v>https://www.president.gov.tw/NEWS/20444</x:v>
      </x:c>
    </x:row>
    <x:row r="69" ht="58" customHeight="1">
      <x:c r="A69" s="45" t="str">
        <x:v>2016-07</x:v>
      </x:c>
      <x:c r="B69" s="45" t="n">
        <x:v>2016</x:v>
      </x:c>
      <x:c r="C69" s="45" t="str">
        <x:v>蔡英文</x:v>
      </x:c>
      <x:c r="D69" s="45" t="str">
        <x:v>經濟、就業、創新</x:v>
      </x:c>
      <x:c r="E69" s="46" t="str">
        <x:v>新政府將打造一個以創新、就業、分配為核心價值，追求永續發展的新經濟模式。</x:v>
      </x:c>
      <x:c r="F69" s="47" t="str">
        <x:v>是</x:v>
      </x:c>
      <x:c r="G69" s="47" t="str">
        <x:v>永續與綠色轉型</x:v>
      </x:c>
      <x:c r="H69" s="47" t="str">
        <x:v>就業與分配、產業升級與創新</x:v>
      </x:c>
      <x:c r="I69" s="47" t="str">
        <x:v>永續與綠色轉型、就業與分配、產業升級與創新</x:v>
      </x:c>
      <x:c r="J69" s="47" t="str">
        <x:v>結構轉型與市場多元化</x:v>
      </x:c>
      <x:c r="K69" s="47" t="str">
        <x:v>已逐句初步編碼；可依研究問題調整</x:v>
      </x:c>
      <x:c r="L69" s="48" t="str">
        <x:v>https://www.president.gov.tw/NEWS/20444</x:v>
      </x:c>
    </x:row>
    <x:row r="70" ht="58" customHeight="1">
      <x:c r="A70" s="45" t="str">
        <x:v>2016-08</x:v>
      </x:c>
      <x:c r="B70" s="45" t="n">
        <x:v>2016</x:v>
      </x:c>
      <x:c r="C70" s="45" t="str">
        <x:v>蔡英文</x:v>
      </x:c>
      <x:c r="D70" s="45" t="str">
        <x:v>經濟</x:v>
      </x:c>
      <x:c r="E70" s="46" t="str">
        <x:v>改革的第一步，就是強化經濟的活力與自主性，加強和全球及區域的連結，積極參與多邊及雙邊經濟合作及自由貿易談判，包括TPP、RCEP等，並且，推動新南向政策，提升對外經濟的格局及多元性，告別以往過於依賴單一市場的現象。</x:v>
      </x:c>
      <x:c r="F70" s="47" t="str">
        <x:v>是</x:v>
      </x:c>
      <x:c r="G70" s="47" t="str">
        <x:v>全球化與經貿整合</x:v>
      </x:c>
      <x:c r="H70" s="47" t="str">
        <x:v>政策背景與成果</x:v>
      </x:c>
      <x:c r="I70" s="47" t="str">
        <x:v>全球化與經貿整合、政策背景與成果</x:v>
      </x:c>
      <x:c r="J70" s="47" t="str">
        <x:v>結構轉型與市場多元化</x:v>
      </x:c>
      <x:c r="K70" s="47" t="str">
        <x:v>已逐句初步編碼；可依研究問題調整</x:v>
      </x:c>
      <x:c r="L70" s="48" t="str">
        <x:v>https://www.president.gov.tw/NEWS/20444</x:v>
      </x:c>
    </x:row>
    <x:row r="71" ht="58" customHeight="1">
      <x:c r="A71" s="45" t="str">
        <x:v>2016-09</x:v>
      </x:c>
      <x:c r="B71" s="45" t="n">
        <x:v>2016</x:v>
      </x:c>
      <x:c r="C71" s="45" t="str">
        <x:v>蔡英文</x:v>
      </x:c>
      <x:c r="D71" s="45" t="str">
        <x:v>經濟、成長</x:v>
      </x:c>
      <x:c r="E71" s="46" t="str">
        <x:v>除此之外，新政府相信，唯有激發新的成長動能，我們才能突破當前經濟的停滯不前。</x:v>
      </x:c>
      <x:c r="F71" s="47" t="str">
        <x:v>是</x:v>
      </x:c>
      <x:c r="G71" s="47" t="str">
        <x:v>成長與競爭力</x:v>
      </x:c>
      <x:c r="H71" s="47" t="str">
        <x:v>政策背景與成果</x:v>
      </x:c>
      <x:c r="I71" s="47" t="str">
        <x:v>成長與競爭力、政策背景與成果</x:v>
      </x:c>
      <x:c r="J71" s="47" t="str">
        <x:v>結構轉型與市場多元化</x:v>
      </x:c>
      <x:c r="K71" s="47" t="str">
        <x:v>已逐句初步編碼；可依研究問題調整</x:v>
      </x:c>
      <x:c r="L71" s="48" t="str">
        <x:v>https://www.president.gov.tw/NEWS/20444</x:v>
      </x:c>
    </x:row>
    <x:row r="72" ht="58" customHeight="1">
      <x:c r="A72" s="45" t="str">
        <x:v>2016-10</x:v>
      </x:c>
      <x:c r="B72" s="45" t="n">
        <x:v>2016</x:v>
      </x:c>
      <x:c r="C72" s="45" t="str">
        <x:v>蔡英文</x:v>
      </x:c>
      <x:c r="D72" s="45" t="str">
        <x:v>經濟</x:v>
      </x:c>
      <x:c r="E72" s="46" t="str">
        <x:v>我們會以出口和內需作為雙引擎，讓企業生產和人民生活互為表裡，讓對外貿易和在地經濟緊密連結。</x:v>
      </x:c>
      <x:c r="F72" s="47" t="str">
        <x:v>是</x:v>
      </x:c>
      <x:c r="G72" s="47" t="str">
        <x:v>全球化與經貿整合</x:v>
      </x:c>
      <x:c r="H72" s="47" t="str">
        <x:v>政策背景與成果</x:v>
      </x:c>
      <x:c r="I72" s="47" t="str">
        <x:v>全球化與經貿整合、政策背景與成果</x:v>
      </x:c>
      <x:c r="J72" s="47" t="str">
        <x:v>結構轉型與市場多元化</x:v>
      </x:c>
      <x:c r="K72" s="47" t="str">
        <x:v>已逐句初步編碼；可依研究問題調整</x:v>
      </x:c>
      <x:c r="L72" s="48" t="str">
        <x:v>https://www.president.gov.tw/NEWS/20444</x:v>
      </x:c>
    </x:row>
    <x:row r="73" ht="58" customHeight="1">
      <x:c r="A73" s="45" t="str">
        <x:v>2016-11</x:v>
      </x:c>
      <x:c r="B73" s="45" t="n">
        <x:v>2016</x:v>
      </x:c>
      <x:c r="C73" s="45" t="str">
        <x:v>蔡英文</x:v>
      </x:c>
      <x:c r="D73" s="45" t="str">
        <x:v>產業、創新</x:v>
      </x:c>
      <x:c r="E73" s="46" t="str">
        <x:v>我們會優先推動五大創新研發計畫，藉著這些產業來重塑臺灣的全球競爭力。</x:v>
      </x:c>
      <x:c r="F73" s="47" t="str">
        <x:v>是</x:v>
      </x:c>
      <x:c r="G73" s="47" t="str">
        <x:v>全球化與經貿整合</x:v>
      </x:c>
      <x:c r="H73" s="47" t="str">
        <x:v>產業升級與創新、成長與競爭力</x:v>
      </x:c>
      <x:c r="I73" s="47" t="str">
        <x:v>全球化與經貿整合、產業升級與創新、成長與競爭力</x:v>
      </x:c>
      <x:c r="J73" s="47" t="str">
        <x:v>結構轉型與市場多元化</x:v>
      </x:c>
      <x:c r="K73" s="47" t="str">
        <x:v>已逐句初步編碼；可依研究問題調整</x:v>
      </x:c>
      <x:c r="L73" s="48" t="str">
        <x:v>https://www.president.gov.tw/NEWS/20444</x:v>
      </x:c>
    </x:row>
    <x:row r="74" ht="58" customHeight="1">
      <x:c r="A74" s="45" t="str">
        <x:v>2016-12</x:v>
      </x:c>
      <x:c r="B74" s="45" t="n">
        <x:v>2016</x:v>
      </x:c>
      <x:c r="C74" s="45" t="str">
        <x:v>蔡英文</x:v>
      </x:c>
      <x:c r="D74" s="45" t="str">
        <x:v>經濟、成長</x:v>
      </x:c>
      <x:c r="E74" s="46" t="str">
        <x:v>我們也要積極提升勞動生產力，保障勞工權益，讓薪資和經濟成長能同步提升。</x:v>
      </x:c>
      <x:c r="F74" s="47" t="str">
        <x:v>是</x:v>
      </x:c>
      <x:c r="G74" s="47" t="str">
        <x:v>就業與分配</x:v>
      </x:c>
      <x:c r="H74" s="47" t="str">
        <x:v>成長與競爭力、政策背景與成果</x:v>
      </x:c>
      <x:c r="I74" s="47" t="str">
        <x:v>就業與分配、成長與競爭力、政策背景與成果</x:v>
      </x:c>
      <x:c r="J74" s="47" t="str">
        <x:v>結構轉型與市場多元化</x:v>
      </x:c>
      <x:c r="K74" s="47" t="str">
        <x:v>已逐句初步編碼；可依研究問題調整</x:v>
      </x:c>
      <x:c r="L74" s="48" t="str">
        <x:v>https://www.president.gov.tw/NEWS/20444</x:v>
      </x:c>
    </x:row>
    <x:row r="75" ht="58" customHeight="1">
      <x:c r="A75" s="45" t="str">
        <x:v>2016-13</x:v>
      </x:c>
      <x:c r="B75" s="45" t="n">
        <x:v>2016</x:v>
      </x:c>
      <x:c r="C75" s="45" t="str">
        <x:v>蔡英文</x:v>
      </x:c>
      <x:c r="D75" s="45" t="str">
        <x:v>經濟</x:v>
      </x:c>
      <x:c r="E75" s="46" t="str">
        <x:v>這是臺灣經濟發展的關鍵時刻。</x:v>
      </x:c>
      <x:c r="F75" s="47" t="str">
        <x:v>是</x:v>
      </x:c>
      <x:c r="G75" s="47" t="str">
        <x:v>成長與競爭力</x:v>
      </x:c>
      <x:c r="H75" s="47" t="str">
        <x:v>政策背景與成果</x:v>
      </x:c>
      <x:c r="I75" s="47" t="str">
        <x:v>成長與競爭力、政策背景與成果</x:v>
      </x:c>
      <x:c r="J75" s="47" t="str">
        <x:v>結構轉型與市場多元化</x:v>
      </x:c>
      <x:c r="K75" s="47" t="str">
        <x:v>已逐句初步編碼；可依研究問題調整</x:v>
      </x:c>
      <x:c r="L75" s="48" t="str">
        <x:v>https://www.president.gov.tw/NEWS/20444</x:v>
      </x:c>
    </x:row>
    <x:row r="76" ht="58" customHeight="1">
      <x:c r="A76" s="45" t="str">
        <x:v>2016-14</x:v>
      </x:c>
      <x:c r="B76" s="45" t="n">
        <x:v>2016</x:v>
      </x:c>
      <x:c r="C76" s="45" t="str">
        <x:v>蔡英文</x:v>
      </x:c>
      <x:c r="D76" s="45" t="str">
        <x:v>經濟</x:v>
      </x:c>
      <x:c r="E76" s="46" t="str">
        <x:v>在經濟發展的同時，我們不要忘記對環境的責任。</x:v>
      </x:c>
      <x:c r="F76" s="47" t="str">
        <x:v>是</x:v>
      </x:c>
      <x:c r="G76" s="47" t="str">
        <x:v>成長與競爭力</x:v>
      </x:c>
      <x:c r="H76" s="47" t="str">
        <x:v>政策背景與成果</x:v>
      </x:c>
      <x:c r="I76" s="47" t="str">
        <x:v>成長與競爭力、政策背景與成果</x:v>
      </x:c>
      <x:c r="J76" s="47" t="str">
        <x:v>結構轉型與市場多元化</x:v>
      </x:c>
      <x:c r="K76" s="47" t="str">
        <x:v>已逐句初步編碼；可依研究問題調整</x:v>
      </x:c>
      <x:c r="L76" s="48" t="str">
        <x:v>https://www.president.gov.tw/NEWS/20444</x:v>
      </x:c>
    </x:row>
    <x:row r="77" ht="58" customHeight="1">
      <x:c r="A77" s="45" t="str">
        <x:v>2016-15</x:v>
      </x:c>
      <x:c r="B77" s="45" t="n">
        <x:v>2016</x:v>
      </x:c>
      <x:c r="C77" s="45" t="str">
        <x:v>蔡英文</x:v>
      </x:c>
      <x:c r="D77" s="45" t="str">
        <x:v>經濟</x:v>
      </x:c>
      <x:c r="E77" s="46" t="str">
        <x:v>經濟發展的新模式會和國土規劃、區域發展及環境永續，相互結合。</x:v>
      </x:c>
      <x:c r="F77" s="47" t="str">
        <x:v>是</x:v>
      </x:c>
      <x:c r="G77" s="47" t="str">
        <x:v>永續與綠色轉型</x:v>
      </x:c>
      <x:c r="H77" s="47" t="str">
        <x:v>成長與競爭力、政策背景與成果</x:v>
      </x:c>
      <x:c r="I77" s="47" t="str">
        <x:v>永續與綠色轉型、成長與競爭力、政策背景與成果</x:v>
      </x:c>
      <x:c r="J77" s="47" t="str">
        <x:v>結構轉型與市場多元化</x:v>
      </x:c>
      <x:c r="K77" s="47" t="str">
        <x:v>已逐句初步編碼；可依研究問題調整</x:v>
      </x:c>
      <x:c r="L77" s="48" t="str">
        <x:v>https://www.president.gov.tw/NEWS/20444</x:v>
      </x:c>
    </x:row>
    <x:row r="78" ht="58" customHeight="1">
      <x:c r="A78" s="45" t="str">
        <x:v>2016-16</x:v>
      </x:c>
      <x:c r="B78" s="45" t="n">
        <x:v>2016</x:v>
      </x:c>
      <x:c r="C78" s="45" t="str">
        <x:v>蔡英文</x:v>
      </x:c>
      <x:c r="D78" s="45" t="str">
        <x:v>產業</x:v>
      </x:c>
      <x:c r="E78" s="46" t="str">
        <x:v>產業的佈局和國土的利用，應該拋棄零碎的規畫，和短視近利的眼光。</x:v>
      </x:c>
      <x:c r="F78" s="47" t="str">
        <x:v>是</x:v>
      </x:c>
      <x:c r="G78" s="47" t="str">
        <x:v>產業升級與創新</x:v>
      </x:c>
      <x:c r="H78" s="47" t="str"/>
      <x:c r="I78" s="47" t="str">
        <x:v>產業升級與創新</x:v>
      </x:c>
      <x:c r="J78" s="47" t="str">
        <x:v>結構轉型與市場多元化</x:v>
      </x:c>
      <x:c r="K78" s="47" t="str">
        <x:v>已逐句初步編碼；可依研究問題調整</x:v>
      </x:c>
      <x:c r="L78" s="48" t="str">
        <x:v>https://www.president.gov.tw/NEWS/20444</x:v>
      </x:c>
    </x:row>
    <x:row r="79" ht="58" customHeight="1">
      <x:c r="A79" s="45" t="str">
        <x:v>2016-17</x:v>
      </x:c>
      <x:c r="B79" s="45" t="n">
        <x:v>2016</x:v>
      </x:c>
      <x:c r="C79" s="45" t="str">
        <x:v>蔡英文</x:v>
      </x:c>
      <x:c r="D79" s="45" t="str">
        <x:v>經濟</x:v>
      </x:c>
      <x:c r="E79" s="46" t="str">
        <x:v>所以，對各種汙染的控制，我們會嚴格把關，更要讓臺灣走向循環經濟的時代，把廢棄物轉換為再生資源。</x:v>
      </x:c>
      <x:c r="F79" s="47" t="str">
        <x:v>是</x:v>
      </x:c>
      <x:c r="G79" s="47" t="str">
        <x:v>永續與綠色轉型</x:v>
      </x:c>
      <x:c r="H79" s="47" t="str">
        <x:v>政策背景與成果</x:v>
      </x:c>
      <x:c r="I79" s="47" t="str">
        <x:v>永續與綠色轉型、政策背景與成果</x:v>
      </x:c>
      <x:c r="J79" s="47" t="str">
        <x:v>結構轉型與市場多元化</x:v>
      </x:c>
      <x:c r="K79" s="47" t="str">
        <x:v>已逐句初步編碼；可依研究問題調整</x:v>
      </x:c>
      <x:c r="L79" s="48" t="str">
        <x:v>https://www.president.gov.tw/NEWS/20444</x:v>
      </x:c>
    </x:row>
    <x:row r="80" ht="58" customHeight="1">
      <x:c r="A80" s="45" t="str">
        <x:v>2016-18</x:v>
      </x:c>
      <x:c r="B80" s="45" t="n">
        <x:v>2016</x:v>
      </x:c>
      <x:c r="C80" s="45" t="str">
        <x:v>蔡英文</x:v>
      </x:c>
      <x:c r="D80" s="45" t="str">
        <x:v>轉型</x:v>
      </x:c>
      <x:c r="E80" s="46" t="str">
        <x:v>追求轉型正義的目標是在追求社會的真正和解，讓所有臺灣人都記取那個時代的錯誤。</x:v>
      </x:c>
      <x:c r="F80" s="47" t="str">
        <x:v>否</x:v>
      </x:c>
      <x:c r="G80" s="47" t="str">
        <x:v>非經濟用法</x:v>
      </x:c>
      <x:c r="H80" s="47" t="str"/>
      <x:c r="I80" s="47" t="str">
        <x:v>詞形命中，但語意屬政治、教育、文化、個人成長或制度改革</x:v>
      </x:c>
      <x:c r="J80" s="47" t="str">
        <x:v>結構轉型與市場多元化</x:v>
      </x:c>
      <x:c r="K80" s="47" t="str">
        <x:v>已逐句初步編碼；可依研究問題調整</x:v>
      </x:c>
      <x:c r="L80" s="48" t="str">
        <x:v>https://www.president.gov.tw/NEWS/20444</x:v>
      </x:c>
    </x:row>
    <x:row r="81" ht="58" customHeight="1">
      <x:c r="A81" s="45" t="str">
        <x:v>2016-19</x:v>
      </x:c>
      <x:c r="B81" s="45" t="n">
        <x:v>2016</x:v>
      </x:c>
      <x:c r="C81" s="45" t="str">
        <x:v>蔡英文</x:v>
      </x:c>
      <x:c r="D81" s="45" t="str">
        <x:v>轉型</x:v>
      </x:c>
      <x:c r="E81" s="46" t="str">
        <x:v>我們將從真相的調查與整理出發，預計在三年之內，完成臺灣自己的轉型正義調查報告書。</x:v>
      </x:c>
      <x:c r="F81" s="47" t="str">
        <x:v>否</x:v>
      </x:c>
      <x:c r="G81" s="47" t="str">
        <x:v>非經濟用法</x:v>
      </x:c>
      <x:c r="H81" s="47" t="str"/>
      <x:c r="I81" s="47" t="str">
        <x:v>詞形命中，但語意屬政治、教育、文化、個人成長或制度改革</x:v>
      </x:c>
      <x:c r="J81" s="47" t="str">
        <x:v>結構轉型與市場多元化</x:v>
      </x:c>
      <x:c r="K81" s="47" t="str">
        <x:v>已逐句初步編碼；可依研究問題調整</x:v>
      </x:c>
      <x:c r="L81" s="48" t="str">
        <x:v>https://www.president.gov.tw/NEWS/20444</x:v>
      </x:c>
    </x:row>
    <x:row r="82" ht="58" customHeight="1">
      <x:c r="A82" s="45" t="str">
        <x:v>2016-20</x:v>
      </x:c>
      <x:c r="B82" s="45" t="n">
        <x:v>2016</x:v>
      </x:c>
      <x:c r="C82" s="45" t="str">
        <x:v>蔡英文</x:v>
      </x:c>
      <x:c r="D82" s="45" t="str">
        <x:v>轉型</x:v>
      </x:c>
      <x:c r="E82" s="46" t="str">
        <x:v>我們將會依據調查報告所揭示的真相，來進行後續的轉型正義工作。</x:v>
      </x:c>
      <x:c r="F82" s="47" t="str">
        <x:v>否</x:v>
      </x:c>
      <x:c r="G82" s="47" t="str">
        <x:v>非經濟用法</x:v>
      </x:c>
      <x:c r="H82" s="47" t="str"/>
      <x:c r="I82" s="47" t="str">
        <x:v>詞形命中，但語意屬政治、教育、文化、個人成長或制度改革</x:v>
      </x:c>
      <x:c r="J82" s="47" t="str">
        <x:v>結構轉型與市場多元化</x:v>
      </x:c>
      <x:c r="K82" s="47" t="str">
        <x:v>已逐句初步編碼；可依研究問題調整</x:v>
      </x:c>
      <x:c r="L82" s="48" t="str">
        <x:v>https://www.president.gov.tw/NEWS/20444</x:v>
      </x:c>
    </x:row>
    <x:row r="83" ht="58" customHeight="1">
      <x:c r="A83" s="45" t="str">
        <x:v>2016-21</x:v>
      </x:c>
      <x:c r="B83" s="45" t="n">
        <x:v>2016</x:v>
      </x:c>
      <x:c r="C83" s="45" t="str">
        <x:v>蔡英文</x:v>
      </x:c>
      <x:c r="D83" s="45" t="str">
        <x:v>經濟</x:v>
      </x:c>
      <x:c r="E83" s="46" t="str">
        <x:v>過去三十年，無論是對亞洲或是全球，都是變動最劇烈的時期；而全球及區域的經濟穩定和集體安全，也是各國政府越來越關心的課題。</x:v>
      </x:c>
      <x:c r="F83" s="47" t="str">
        <x:v>是</x:v>
      </x:c>
      <x:c r="G83" s="47" t="str">
        <x:v>政策背景與成果</x:v>
      </x:c>
      <x:c r="H83" s="47" t="str"/>
      <x:c r="I83" s="47" t="str">
        <x:v>政策背景與成果</x:v>
      </x:c>
      <x:c r="J83" s="47" t="str">
        <x:v>結構轉型與市場多元化</x:v>
      </x:c>
      <x:c r="K83" s="47" t="str">
        <x:v>已逐句初步編碼；可依研究問題調整</x:v>
      </x:c>
      <x:c r="L83" s="48" t="str">
        <x:v>https://www.president.gov.tw/NEWS/20444</x:v>
      </x:c>
    </x:row>
    <x:row r="84" ht="58" customHeight="1">
      <x:c r="A84" s="45" t="str">
        <x:v>2016-22</x:v>
      </x:c>
      <x:c r="B84" s="45" t="n">
        <x:v>2016</x:v>
      </x:c>
      <x:c r="C84" s="45" t="str">
        <x:v>蔡英文</x:v>
      </x:c>
      <x:c r="D84" s="45" t="str">
        <x:v>經濟</x:v>
      </x:c>
      <x:c r="E84" s="46" t="str">
        <x:v>臺灣現階段的經濟發展，和區域中許多國家高度關聯和互補。</x:v>
      </x:c>
      <x:c r="F84" s="47" t="str">
        <x:v>是</x:v>
      </x:c>
      <x:c r="G84" s="47" t="str">
        <x:v>成長與競爭力</x:v>
      </x:c>
      <x:c r="H84" s="47" t="str">
        <x:v>政策背景與成果</x:v>
      </x:c>
      <x:c r="I84" s="47" t="str">
        <x:v>成長與競爭力、政策背景與成果</x:v>
      </x:c>
      <x:c r="J84" s="47" t="str">
        <x:v>結構轉型與市場多元化</x:v>
      </x:c>
      <x:c r="K84" s="47" t="str">
        <x:v>已逐句初步編碼；可依研究問題調整</x:v>
      </x:c>
      <x:c r="L84" s="48" t="str">
        <x:v>https://www.president.gov.tw/NEWS/20444</x:v>
      </x:c>
    </x:row>
    <x:row r="85" ht="58" customHeight="1">
      <x:c r="A85" s="45" t="str">
        <x:v>2016-23</x:v>
      </x:c>
      <x:c r="B85" s="45" t="n">
        <x:v>2016</x:v>
      </x:c>
      <x:c r="C85" s="45" t="str">
        <x:v>蔡英文</x:v>
      </x:c>
      <x:c r="D85" s="45" t="str">
        <x:v>經濟、創新</x:v>
      </x:c>
      <x:c r="E85" s="46" t="str">
        <x:v>如果將打造經濟發展新模式的努力，透過和亞洲、乃至亞太區域的國家合作，共同形塑未來的發展策略，不但可以為區域的經濟創新、結構調整和永續發展，做出積極的貢獻，更可以和區域內的成員，建立緊密的「經濟共同體」意識。</x:v>
      </x:c>
      <x:c r="F85" s="47" t="str">
        <x:v>是</x:v>
      </x:c>
      <x:c r="G85" s="47" t="str">
        <x:v>永續與綠色轉型</x:v>
      </x:c>
      <x:c r="H85" s="47" t="str">
        <x:v>產業升級與創新、成長與競爭力</x:v>
      </x:c>
      <x:c r="I85" s="47" t="str">
        <x:v>永續與綠色轉型、產業升級與創新、成長與競爭力</x:v>
      </x:c>
      <x:c r="J85" s="47" t="str">
        <x:v>結構轉型與市場多元化</x:v>
      </x:c>
      <x:c r="K85" s="47" t="str">
        <x:v>已逐句初步編碼；可依研究問題調整</x:v>
      </x:c>
      <x:c r="L85" s="48" t="str">
        <x:v>https://www.president.gov.tw/NEWS/20444</x:v>
      </x:c>
    </x:row>
    <x:row r="86" ht="58" customHeight="1">
      <x:c r="A86" s="45" t="str">
        <x:v>2016-24</x:v>
      </x:c>
      <x:c r="B86" s="45" t="n">
        <x:v>2016</x:v>
      </x:c>
      <x:c r="C86" s="45" t="str">
        <x:v>蔡英文</x:v>
      </x:c>
      <x:c r="D86" s="45" t="str">
        <x:v>經濟</x:v>
      </x:c>
      <x:c r="E86" s="46" t="str">
        <x:v>我們要和其他國家共享資源、人才與市場，擴大經濟規模，讓資源有效利用。</x:v>
      </x:c>
      <x:c r="F86" s="47" t="str">
        <x:v>是</x:v>
      </x:c>
      <x:c r="G86" s="47" t="str">
        <x:v>政策背景與成果</x:v>
      </x:c>
      <x:c r="H86" s="47" t="str"/>
      <x:c r="I86" s="47" t="str">
        <x:v>政策背景與成果</x:v>
      </x:c>
      <x:c r="J86" s="47" t="str">
        <x:v>結構轉型與市場多元化</x:v>
      </x:c>
      <x:c r="K86" s="47" t="str">
        <x:v>已逐句初步編碼；可依研究問題調整</x:v>
      </x:c>
      <x:c r="L86" s="48" t="str">
        <x:v>https://www.president.gov.tw/NEWS/20444</x:v>
      </x:c>
    </x:row>
    <x:row r="87" ht="58" customHeight="1">
      <x:c r="A87" s="45" t="str">
        <x:v>2016-25</x:v>
      </x:c>
      <x:c r="B87" s="45" t="n">
        <x:v>2016</x:v>
      </x:c>
      <x:c r="C87" s="45" t="str">
        <x:v>蔡英文</x:v>
      </x:c>
      <x:c r="D87" s="45" t="str">
        <x:v>經濟</x:v>
      </x:c>
      <x:c r="E87" s="46" t="str">
        <x:v>在積極發展經濟的同時，亞太地區的安全情勢也變得越來越複雜，而兩岸關係，也成為建構區域和平與集體安全的重要一環。</x:v>
      </x:c>
      <x:c r="F87" s="47" t="str">
        <x:v>是</x:v>
      </x:c>
      <x:c r="G87" s="47" t="str">
        <x:v>政策背景與成果</x:v>
      </x:c>
      <x:c r="H87" s="47" t="str"/>
      <x:c r="I87" s="47" t="str">
        <x:v>政策背景與成果</x:v>
      </x:c>
      <x:c r="J87" s="47" t="str">
        <x:v>結構轉型與市場多元化</x:v>
      </x:c>
      <x:c r="K87" s="47" t="str">
        <x:v>已逐句初步編碼；可依研究問題調整</x:v>
      </x:c>
      <x:c r="L87" s="48" t="str">
        <x:v>https://www.president.gov.tw/NEWS/20444</x:v>
      </x:c>
    </x:row>
    <x:row r="88" ht="58" customHeight="1">
      <x:c r="A88" s="45" t="str">
        <x:v>2016-26</x:v>
      </x:c>
      <x:c r="B88" s="45" t="n">
        <x:v>2016</x:v>
      </x:c>
      <x:c r="C88" s="45" t="str">
        <x:v>蔡英文</x:v>
      </x:c>
      <x:c r="D88" s="45" t="str">
        <x:v>經濟</x:v>
      </x:c>
      <x:c r="E88" s="46" t="str">
        <x:v>我們會積極參與國際經貿合作及規則制定，堅定維護全球的經濟秩序，並且融入重要的區域經貿體系。</x:v>
      </x:c>
      <x:c r="F88" s="47" t="str">
        <x:v>是</x:v>
      </x:c>
      <x:c r="G88" s="47" t="str">
        <x:v>全球化與經貿整合</x:v>
      </x:c>
      <x:c r="H88" s="47" t="str">
        <x:v>政策背景與成果</x:v>
      </x:c>
      <x:c r="I88" s="47" t="str">
        <x:v>全球化與經貿整合、政策背景與成果</x:v>
      </x:c>
      <x:c r="J88" s="47" t="str">
        <x:v>結構轉型與市場多元化</x:v>
      </x:c>
      <x:c r="K88" s="47" t="str">
        <x:v>已逐句初步編碼；可依研究問題調整</x:v>
      </x:c>
      <x:c r="L88" s="48" t="str">
        <x:v>https://www.president.gov.tw/NEWS/20444</x:v>
      </x:c>
    </x:row>
    <x:row r="89" ht="58" customHeight="1">
      <x:c r="A89" s="45" t="str">
        <x:v>2016-27</x:v>
      </x:c>
      <x:c r="B89" s="45" t="n">
        <x:v>2016</x:v>
      </x:c>
      <x:c r="C89" s="45" t="str">
        <x:v>蔡英文</x:v>
      </x:c>
      <x:c r="D89" s="45" t="str">
        <x:v>經濟</x:v>
      </x:c>
      <x:c r="E89" s="46" t="str">
        <x:v>打造一個沒有被意識形態綁架的「團結的民主」，打造一個可以回應社會與經濟問題的「有效率的民主」，打造一個能夠實質照料人民的「務實的民主」，這就是新時代的意義。</x:v>
      </x:c>
      <x:c r="F89" s="47" t="str">
        <x:v>是</x:v>
      </x:c>
      <x:c r="G89" s="47" t="str">
        <x:v>政策背景與成果</x:v>
      </x:c>
      <x:c r="H89" s="47" t="str"/>
      <x:c r="I89" s="47" t="str">
        <x:v>政策背景與成果</x:v>
      </x:c>
      <x:c r="J89" s="47" t="str">
        <x:v>結構轉型與市場多元化</x:v>
      </x:c>
      <x:c r="K89" s="47" t="str">
        <x:v>已逐句初步編碼；可依研究問題調整</x:v>
      </x:c>
      <x:c r="L89" s="48" t="str">
        <x:v>https://www.president.gov.tw/NEWS/20444</x:v>
      </x:c>
    </x:row>
    <x:row r="90" ht="58" customHeight="1">
      <x:c r="A90" s="45" t="str">
        <x:v>2020-01</x:v>
      </x:c>
      <x:c r="B90" s="45" t="n">
        <x:v>2020</x:v>
      </x:c>
      <x:c r="C90" s="45" t="str">
        <x:v>蔡英文</x:v>
      </x:c>
      <x:c r="D90" s="45" t="str">
        <x:v>經濟、供應鏈</x:v>
      </x:c>
      <x:c r="E90" s="46" t="str">
        <x:v>這次疫情對全球的衝擊既深又廣，它改變了全球政治經濟的秩序，不僅加速、加大了全球供應鏈的重組，重新排列了經濟板塊，也改變了人們的生活和消費型態，甚至也改變了國際社會對台灣和周邊情勢的想像。</x:v>
      </x:c>
      <x:c r="F90" s="47" t="str">
        <x:v>是</x:v>
      </x:c>
      <x:c r="G90" s="47" t="str">
        <x:v>供應鏈與經濟安全</x:v>
      </x:c>
      <x:c r="H90" s="47" t="str">
        <x:v>全球化與經貿整合、政策背景與成果</x:v>
      </x:c>
      <x:c r="I90" s="47" t="str">
        <x:v>供應鏈與經濟安全、全球化與經貿整合、政策背景與成果</x:v>
      </x:c>
      <x:c r="J90" s="47" t="str">
        <x:v>供應鏈韌性與戰略產業</x:v>
      </x:c>
      <x:c r="K90" s="47" t="str">
        <x:v>已逐句初步編碼；可依研究問題調整</x:v>
      </x:c>
      <x:c r="L90" s="48" t="str">
        <x:v>https://www.president.gov.tw/News/25319</x:v>
      </x:c>
    </x:row>
    <x:row r="91" ht="58" customHeight="1">
      <x:c r="A91" s="45" t="str">
        <x:v>2020-02</x:v>
      </x:c>
      <x:c r="B91" s="45" t="n">
        <x:v>2020</x:v>
      </x:c>
      <x:c r="C91" s="45" t="str">
        <x:v>蔡英文</x:v>
      </x:c>
      <x:c r="D91" s="45" t="str">
        <x:v>產業</x:v>
      </x:c>
      <x:c r="E91" s="46" t="str">
        <x:v>所以，下一個四年，在產業發展、社會安定、國家安全、民主深化，這四大面向上，我也會超前部署，讓台灣脫胎換骨，我會帶領台灣迎向未來。</x:v>
      </x:c>
      <x:c r="F91" s="47" t="str">
        <x:v>是</x:v>
      </x:c>
      <x:c r="G91" s="47" t="str">
        <x:v>供應鏈與經濟安全</x:v>
      </x:c>
      <x:c r="H91" s="47" t="str">
        <x:v>產業升級與創新、政策背景與成果</x:v>
      </x:c>
      <x:c r="I91" s="47" t="str">
        <x:v>供應鏈與經濟安全、產業升級與創新、政策背景與成果</x:v>
      </x:c>
      <x:c r="J91" s="47" t="str">
        <x:v>供應鏈韌性與戰略產業</x:v>
      </x:c>
      <x:c r="K91" s="47" t="str">
        <x:v>已逐句初步編碼；可依研究問題調整</x:v>
      </x:c>
      <x:c r="L91" s="48" t="str">
        <x:v>https://www.president.gov.tw/News/25319</x:v>
      </x:c>
    </x:row>
    <x:row r="92" ht="58" customHeight="1">
      <x:c r="A92" s="45" t="str">
        <x:v>2020-03</x:v>
      </x:c>
      <x:c r="B92" s="45" t="n">
        <x:v>2020</x:v>
      </x:c>
      <x:c r="C92" s="45" t="str">
        <x:v>蔡英文</x:v>
      </x:c>
      <x:c r="D92" s="45" t="str">
        <x:v>經濟、產業</x:v>
      </x:c>
      <x:c r="E92" s="46" t="str">
        <x:v>三、國家建設工程(一)產業與經濟發展我知道，台灣人民最關心的，就是我們的產業和經濟的發展。</x:v>
      </x:c>
      <x:c r="F92" s="47" t="str">
        <x:v>是</x:v>
      </x:c>
      <x:c r="G92" s="47" t="str">
        <x:v>產業升級與創新</x:v>
      </x:c>
      <x:c r="H92" s="47" t="str">
        <x:v>成長與競爭力、政策背景與成果</x:v>
      </x:c>
      <x:c r="I92" s="47" t="str">
        <x:v>產業升級與創新、成長與競爭力、政策背景與成果</x:v>
      </x:c>
      <x:c r="J92" s="47" t="str">
        <x:v>供應鏈韌性與戰略產業</x:v>
      </x:c>
      <x:c r="K92" s="47" t="str">
        <x:v>已逐句初步編碼；可依研究問題調整</x:v>
      </x:c>
      <x:c r="L92" s="48" t="str">
        <x:v>https://www.president.gov.tw/News/25319</x:v>
      </x:c>
    </x:row>
    <x:row r="93" ht="58" customHeight="1">
      <x:c r="A93" s="45" t="str">
        <x:v>2020-04</x:v>
      </x:c>
      <x:c r="B93" s="45" t="n">
        <x:v>2020</x:v>
      </x:c>
      <x:c r="C93" s="45" t="str">
        <x:v>蔡英文</x:v>
      </x:c>
      <x:c r="D93" s="45" t="str">
        <x:v>經濟</x:v>
      </x:c>
      <x:c r="E93" s="46" t="str">
        <x:v>我們在2016年啟動了「經濟發展新模式」，致力讓台灣經濟走向世界。</x:v>
      </x:c>
      <x:c r="F93" s="47" t="str">
        <x:v>是</x:v>
      </x:c>
      <x:c r="G93" s="47" t="str">
        <x:v>成長與競爭力</x:v>
      </x:c>
      <x:c r="H93" s="47" t="str">
        <x:v>政策背景與成果</x:v>
      </x:c>
      <x:c r="I93" s="47" t="str">
        <x:v>成長與競爭力、政策背景與成果</x:v>
      </x:c>
      <x:c r="J93" s="47" t="str">
        <x:v>供應鏈韌性與戰略產業</x:v>
      </x:c>
      <x:c r="K93" s="47" t="str">
        <x:v>已逐句初步編碼；可依研究問題調整</x:v>
      </x:c>
      <x:c r="L93" s="48" t="str">
        <x:v>https://www.president.gov.tw/News/25319</x:v>
      </x:c>
    </x:row>
    <x:row r="94" ht="58" customHeight="1">
      <x:c r="A94" s="45" t="str">
        <x:v>2020-05</x:v>
      </x:c>
      <x:c r="B94" s="45" t="n">
        <x:v>2020</x:v>
      </x:c>
      <x:c r="C94" s="45" t="str">
        <x:v>蔡英文</x:v>
      </x:c>
      <x:c r="D94" s="45" t="str">
        <x:v>經濟、成長</x:v>
      </x:c>
      <x:c r="E94" s="46" t="str">
        <x:v>四年來，在國際經濟的巨大變局下，台灣不僅挺了過來，經濟成長更回到四小龍的第一名，股市萬點也成為常態。</x:v>
      </x:c>
      <x:c r="F94" s="47" t="str">
        <x:v>是</x:v>
      </x:c>
      <x:c r="G94" s="47" t="str">
        <x:v>全球化與經貿整合</x:v>
      </x:c>
      <x:c r="H94" s="47" t="str">
        <x:v>成長與競爭力、政策背景與成果</x:v>
      </x:c>
      <x:c r="I94" s="47" t="str">
        <x:v>全球化與經貿整合、成長與競爭力、政策背景與成果</x:v>
      </x:c>
      <x:c r="J94" s="47" t="str">
        <x:v>供應鏈韌性與戰略產業</x:v>
      </x:c>
      <x:c r="K94" s="47" t="str">
        <x:v>已逐句初步編碼；可依研究問題調整</x:v>
      </x:c>
      <x:c r="L94" s="48" t="str">
        <x:v>https://www.president.gov.tw/News/25319</x:v>
      </x:c>
    </x:row>
    <x:row r="95" ht="58" customHeight="1">
      <x:c r="A95" s="45" t="str">
        <x:v>2020-06</x:v>
      </x:c>
      <x:c r="B95" s="45" t="n">
        <x:v>2020</x:v>
      </x:c>
      <x:c r="C95" s="45" t="str">
        <x:v>蔡英文</x:v>
      </x:c>
      <x:c r="D95" s="45" t="str">
        <x:v>經濟、成長</x:v>
      </x:c>
      <x:c r="E95" s="46" t="str">
        <x:v>因為疫情控制得當，台灣至今，仍然可以維持經濟正成長，這是全球少有的。</x:v>
      </x:c>
      <x:c r="F95" s="47" t="str">
        <x:v>是</x:v>
      </x:c>
      <x:c r="G95" s="47" t="str">
        <x:v>成長與競爭力</x:v>
      </x:c>
      <x:c r="H95" s="47" t="str">
        <x:v>政策背景與成果</x:v>
      </x:c>
      <x:c r="I95" s="47" t="str">
        <x:v>成長與競爭力、政策背景與成果</x:v>
      </x:c>
      <x:c r="J95" s="47" t="str">
        <x:v>供應鏈韌性與戰略產業</x:v>
      </x:c>
      <x:c r="K95" s="47" t="str">
        <x:v>已逐句初步編碼；可依研究問題調整</x:v>
      </x:c>
      <x:c r="L95" s="48" t="str">
        <x:v>https://www.president.gov.tw/News/25319</x:v>
      </x:c>
    </x:row>
    <x:row r="96" ht="58" customHeight="1">
      <x:c r="A96" s="45" t="str">
        <x:v>2020-07</x:v>
      </x:c>
      <x:c r="B96" s="45" t="n">
        <x:v>2020</x:v>
      </x:c>
      <x:c r="C96" s="45" t="str">
        <x:v>蔡英文</x:v>
      </x:c>
      <x:c r="D96" s="45" t="str">
        <x:v>經濟、成長</x:v>
      </x:c>
      <x:c r="E96" s="46" t="str">
        <x:v>但我們在紓困以及振興經濟上，必須持續超前部署，全力維持經濟穩定成長。</x:v>
      </x:c>
      <x:c r="F96" s="47" t="str">
        <x:v>是</x:v>
      </x:c>
      <x:c r="G96" s="47" t="str">
        <x:v>成長與競爭力</x:v>
      </x:c>
      <x:c r="H96" s="47" t="str">
        <x:v>政策背景與成果</x:v>
      </x:c>
      <x:c r="I96" s="47" t="str">
        <x:v>成長與競爭力、政策背景與成果</x:v>
      </x:c>
      <x:c r="J96" s="47" t="str">
        <x:v>供應鏈韌性與戰略產業</x:v>
      </x:c>
      <x:c r="K96" s="47" t="str">
        <x:v>已逐句初步編碼；可依研究問題調整</x:v>
      </x:c>
      <x:c r="L96" s="48" t="str">
        <x:v>https://www.president.gov.tw/News/25319</x:v>
      </x:c>
    </x:row>
    <x:row r="97" ht="58" customHeight="1">
      <x:c r="A97" s="45" t="str">
        <x:v>2020-08</x:v>
      </x:c>
      <x:c r="B97" s="45" t="n">
        <x:v>2020</x:v>
      </x:c>
      <x:c r="C97" s="45" t="str">
        <x:v>蔡英文</x:v>
      </x:c>
      <x:c r="D97" s="45" t="str">
        <x:v>經濟、供應鏈</x:v>
      </x:c>
      <x:c r="E97" s="46" t="str">
        <x:v>未來四年，我們面對的，是全球經濟更劇烈變動，和供應鏈加速重整的局面。</x:v>
      </x:c>
      <x:c r="F97" s="47" t="str">
        <x:v>是</x:v>
      </x:c>
      <x:c r="G97" s="47" t="str">
        <x:v>供應鏈與經濟安全</x:v>
      </x:c>
      <x:c r="H97" s="47" t="str">
        <x:v>全球化與經貿整合、政策背景與成果</x:v>
      </x:c>
      <x:c r="I97" s="47" t="str">
        <x:v>供應鏈與經濟安全、全球化與經貿整合、政策背景與成果</x:v>
      </x:c>
      <x:c r="J97" s="47" t="str">
        <x:v>供應鏈韌性與戰略產業</x:v>
      </x:c>
      <x:c r="K97" s="47" t="str">
        <x:v>已逐句初步編碼；可依研究問題調整</x:v>
      </x:c>
      <x:c r="L97" s="48" t="str">
        <x:v>https://www.president.gov.tw/News/25319</x:v>
      </x:c>
    </x:row>
    <x:row r="98" ht="58" customHeight="1">
      <x:c r="A98" s="45" t="str">
        <x:v>2020-09</x:v>
      </x:c>
      <x:c r="B98" s="45" t="n">
        <x:v>2020</x:v>
      </x:c>
      <x:c r="C98" s="45" t="str">
        <x:v>蔡英文</x:v>
      </x:c>
      <x:c r="D98" s="45" t="str">
        <x:v>經濟、成長</x:v>
      </x:c>
      <x:c r="E98" s="46" t="str">
        <x:v>在整體經濟方面，我們將秉持「穩定中追求成長、變局中把握先機」的政策理念，持續落實前瞻基礎建設、兆元投資等重大計畫，來鞏固未來幾十年的經濟發展。</x:v>
      </x:c>
      <x:c r="F98" s="47" t="str">
        <x:v>是</x:v>
      </x:c>
      <x:c r="G98" s="47" t="str">
        <x:v>成長與競爭力</x:v>
      </x:c>
      <x:c r="H98" s="47" t="str">
        <x:v>政策背景與成果</x:v>
      </x:c>
      <x:c r="I98" s="47" t="str">
        <x:v>成長與競爭力、政策背景與成果</x:v>
      </x:c>
      <x:c r="J98" s="47" t="str">
        <x:v>供應鏈韌性與戰略產業</x:v>
      </x:c>
      <x:c r="K98" s="47" t="str">
        <x:v>已逐句初步編碼；可依研究問題調整</x:v>
      </x:c>
      <x:c r="L98" s="48" t="str">
        <x:v>https://www.president.gov.tw/News/25319</x:v>
      </x:c>
    </x:row>
    <x:row r="99" ht="58" customHeight="1">
      <x:c r="A99" s="45" t="str">
        <x:v>2020-10</x:v>
      </x:c>
      <x:c r="B99" s="45" t="n">
        <x:v>2020</x:v>
      </x:c>
      <x:c r="C99" s="45" t="str">
        <x:v>蔡英文</x:v>
      </x:c>
      <x:c r="D99" s="45" t="str">
        <x:v>經濟、產業、創新</x:v>
      </x:c>
      <x:c r="E99" s="46" t="str">
        <x:v>在產業發展方面，我們更要抓住時機，在5+2產業創新的既有基礎上，打造「六大核心戰略產業」，讓台灣成為未來全球經濟的關鍵力量。</x:v>
      </x:c>
      <x:c r="F99" s="47" t="str">
        <x:v>是</x:v>
      </x:c>
      <x:c r="G99" s="47" t="str">
        <x:v>供應鏈與經濟安全</x:v>
      </x:c>
      <x:c r="H99" s="47" t="str">
        <x:v>全球化與經貿整合、產業升級與創新</x:v>
      </x:c>
      <x:c r="I99" s="47" t="str">
        <x:v>供應鏈與經濟安全、全球化與經貿整合、產業升級與創新</x:v>
      </x:c>
      <x:c r="J99" s="47" t="str">
        <x:v>供應鏈韌性與戰略產業</x:v>
      </x:c>
      <x:c r="K99" s="47" t="str">
        <x:v>已逐句初步編碼；可依研究問題調整</x:v>
      </x:c>
      <x:c r="L99" s="48" t="str">
        <x:v>https://www.president.gov.tw/News/25319</x:v>
      </x:c>
    </x:row>
    <x:row r="100" ht="58" customHeight="1">
      <x:c r="A100" s="45" t="str">
        <x:v>2020-11</x:v>
      </x:c>
      <x:c r="B100" s="45" t="n">
        <x:v>2020</x:v>
      </x:c>
      <x:c r="C100" s="45" t="str">
        <x:v>蔡英文</x:v>
      </x:c>
      <x:c r="D100" s="45" t="str">
        <x:v>產業</x:v>
      </x:c>
      <x:c r="E100" s="46" t="str">
        <x:v>1、六大核心戰略產業第一，我們要持續強化資訊及數位相關產業發展。</x:v>
      </x:c>
      <x:c r="F100" s="47" t="str">
        <x:v>是</x:v>
      </x:c>
      <x:c r="G100" s="47" t="str">
        <x:v>供應鏈與經濟安全</x:v>
      </x:c>
      <x:c r="H100" s="47" t="str">
        <x:v>產業升級與創新、政策背景與成果</x:v>
      </x:c>
      <x:c r="I100" s="47" t="str">
        <x:v>供應鏈與經濟安全、產業升級與創新、政策背景與成果</x:v>
      </x:c>
      <x:c r="J100" s="47" t="str">
        <x:v>供應鏈韌性與戰略產業</x:v>
      </x:c>
      <x:c r="K100" s="47" t="str">
        <x:v>已逐句初步編碼；可依研究問題調整</x:v>
      </x:c>
      <x:c r="L100" s="48" t="str">
        <x:v>https://www.president.gov.tw/News/25319</x:v>
      </x:c>
    </x:row>
    <x:row r="101" ht="58" customHeight="1">
      <x:c r="A101" s="45" t="str">
        <x:v>2020-12</x:v>
      </x:c>
      <x:c r="B101" s="45" t="n">
        <x:v>2020</x:v>
      </x:c>
      <x:c r="C101" s="45" t="str">
        <x:v>蔡英文</x:v>
      </x:c>
      <x:c r="D101" s="45" t="str">
        <x:v>產業、供應鏈</x:v>
      </x:c>
      <x:c r="E101" s="46" t="str">
        <x:v>我們要利用半導體和資通訊產業的優勢，全力搶占全球供應鏈的核心地位，讓台灣成為下一個世代，資訊科技的重要基地，全力促進物聯網和人工智慧的發展。</x:v>
      </x:c>
      <x:c r="F101" s="47" t="str">
        <x:v>是</x:v>
      </x:c>
      <x:c r="G101" s="47" t="str">
        <x:v>供應鏈與經濟安全</x:v>
      </x:c>
      <x:c r="H101" s="47" t="str">
        <x:v>產業升級與創新、政策背景與成果</x:v>
      </x:c>
      <x:c r="I101" s="47" t="str">
        <x:v>供應鏈與經濟安全、產業升級與創新、政策背景與成果</x:v>
      </x:c>
      <x:c r="J101" s="47" t="str">
        <x:v>供應鏈韌性與戰略產業</x:v>
      </x:c>
      <x:c r="K101" s="47" t="str">
        <x:v>已逐句初步編碼；可依研究問題調整</x:v>
      </x:c>
      <x:c r="L101" s="48" t="str">
        <x:v>https://www.president.gov.tw/News/25319</x:v>
      </x:c>
    </x:row>
    <x:row r="102" ht="58" customHeight="1">
      <x:c r="A102" s="45" t="str">
        <x:v>2020-13</x:v>
      </x:c>
      <x:c r="B102" s="45" t="n">
        <x:v>2020</x:v>
      </x:c>
      <x:c r="C102" s="45" t="str">
        <x:v>蔡英文</x:v>
      </x:c>
      <x:c r="D102" s="45" t="str">
        <x:v>產業、轉型</x:v>
      </x:c>
      <x:c r="E102" s="46" t="str">
        <x:v>第二，我們要發展可以結合5G時代、數位轉型、以及國家安全的資安產業。</x:v>
      </x:c>
      <x:c r="F102" s="47" t="str">
        <x:v>是</x:v>
      </x:c>
      <x:c r="G102" s="47" t="str">
        <x:v>供應鏈與經濟安全</x:v>
      </x:c>
      <x:c r="H102" s="47" t="str">
        <x:v>產業升級與創新、政策背景與成果</x:v>
      </x:c>
      <x:c r="I102" s="47" t="str">
        <x:v>供應鏈與經濟安全、產業升級與創新、政策背景與成果</x:v>
      </x:c>
      <x:c r="J102" s="47" t="str">
        <x:v>供應鏈韌性與戰略產業</x:v>
      </x:c>
      <x:c r="K102" s="47" t="str">
        <x:v>已逐句初步編碼；可依研究問題調整</x:v>
      </x:c>
      <x:c r="L102" s="48" t="str">
        <x:v>https://www.president.gov.tw/News/25319</x:v>
      </x:c>
    </x:row>
    <x:row r="103" ht="58" customHeight="1">
      <x:c r="A103" s="45" t="str">
        <x:v>2020-14</x:v>
      </x:c>
      <x:c r="B103" s="45" t="n">
        <x:v>2020</x:v>
      </x:c>
      <x:c r="C103" s="45" t="str">
        <x:v>蔡英文</x:v>
      </x:c>
      <x:c r="D103" s="45" t="str">
        <x:v>產業</x:v>
      </x:c>
      <x:c r="E103" s="46" t="str">
        <x:v>我們要全力打造可以有效保護自己，也能被世界信賴的資安系統及產業鏈。</x:v>
      </x:c>
      <x:c r="F103" s="47" t="str">
        <x:v>是</x:v>
      </x:c>
      <x:c r="G103" s="47" t="str">
        <x:v>供應鏈與經濟安全</x:v>
      </x:c>
      <x:c r="H103" s="47" t="str">
        <x:v>產業升級與創新</x:v>
      </x:c>
      <x:c r="I103" s="47" t="str">
        <x:v>供應鏈與經濟安全、產業升級與創新</x:v>
      </x:c>
      <x:c r="J103" s="47" t="str">
        <x:v>供應鏈韌性與戰略產業</x:v>
      </x:c>
      <x:c r="K103" s="47" t="str">
        <x:v>已逐句初步編碼；可依研究問題調整</x:v>
      </x:c>
      <x:c r="L103" s="48" t="str">
        <x:v>https://www.president.gov.tw/News/25319</x:v>
      </x:c>
    </x:row>
    <x:row r="104" ht="58" customHeight="1">
      <x:c r="A104" s="45" t="str">
        <x:v>2020-15</x:v>
      </x:c>
      <x:c r="B104" s="45" t="n">
        <x:v>2020</x:v>
      </x:c>
      <x:c r="C104" s="45" t="str">
        <x:v>蔡英文</x:v>
      </x:c>
      <x:c r="D104" s="45" t="str">
        <x:v>產業</x:v>
      </x:c>
      <x:c r="E104" s="46" t="str">
        <x:v>第三，我們要打造接軌全球的生物及醫療科技產業。</x:v>
      </x:c>
      <x:c r="F104" s="47" t="str">
        <x:v>是</x:v>
      </x:c>
      <x:c r="G104" s="47" t="str">
        <x:v>產業升級與創新</x:v>
      </x:c>
      <x:c r="H104" s="47" t="str"/>
      <x:c r="I104" s="47" t="str">
        <x:v>產業升級與創新</x:v>
      </x:c>
      <x:c r="J104" s="47" t="str">
        <x:v>供應鏈韌性與戰略產業</x:v>
      </x:c>
      <x:c r="K104" s="47" t="str">
        <x:v>已逐句初步編碼；可依研究問題調整</x:v>
      </x:c>
      <x:c r="L104" s="48" t="str">
        <x:v>https://www.president.gov.tw/News/25319</x:v>
      </x:c>
    </x:row>
    <x:row r="105" ht="58" customHeight="1">
      <x:c r="A105" s="45" t="str">
        <x:v>2020-16</x:v>
      </x:c>
      <x:c r="B105" s="45" t="n">
        <x:v>2020</x:v>
      </x:c>
      <x:c r="C105" s="45" t="str">
        <x:v>蔡英文</x:v>
      </x:c>
      <x:c r="D105" s="45" t="str">
        <x:v>產業</x:v>
      </x:c>
      <x:c r="E105" s="46" t="str">
        <x:v>我們要全力扶持相關產業，讓台灣成為全球克服疫病挑戰的關鍵力量。</x:v>
      </x:c>
      <x:c r="F105" s="47" t="str">
        <x:v>是</x:v>
      </x:c>
      <x:c r="G105" s="47" t="str">
        <x:v>產業升級與創新</x:v>
      </x:c>
      <x:c r="H105" s="47" t="str"/>
      <x:c r="I105" s="47" t="str">
        <x:v>產業升級與創新</x:v>
      </x:c>
      <x:c r="J105" s="47" t="str">
        <x:v>供應鏈韌性與戰略產業</x:v>
      </x:c>
      <x:c r="K105" s="47" t="str">
        <x:v>已逐句初步編碼；可依研究問題調整</x:v>
      </x:c>
      <x:c r="L105" s="48" t="str">
        <x:v>https://www.president.gov.tw/News/25319</x:v>
      </x:c>
    </x:row>
    <x:row r="106" ht="58" customHeight="1">
      <x:c r="A106" s="45" t="str">
        <x:v>2020-17</x:v>
      </x:c>
      <x:c r="B106" s="45" t="n">
        <x:v>2020</x:v>
      </x:c>
      <x:c r="C106" s="45" t="str">
        <x:v>蔡英文</x:v>
      </x:c>
      <x:c r="D106" s="45" t="str">
        <x:v>產業</x:v>
      </x:c>
      <x:c r="E106" s="46" t="str">
        <x:v>第四，我們要發展軍民整合的國防及戰略產業。</x:v>
      </x:c>
      <x:c r="F106" s="47" t="str">
        <x:v>是</x:v>
      </x:c>
      <x:c r="G106" s="47" t="str">
        <x:v>供應鏈與經濟安全</x:v>
      </x:c>
      <x:c r="H106" s="47" t="str">
        <x:v>產業升級與創新、政策背景與成果</x:v>
      </x:c>
      <x:c r="I106" s="47" t="str">
        <x:v>供應鏈與經濟安全、產業升級與創新、政策背景與成果</x:v>
      </x:c>
      <x:c r="J106" s="47" t="str">
        <x:v>供應鏈韌性與戰略產業</x:v>
      </x:c>
      <x:c r="K106" s="47" t="str">
        <x:v>已逐句初步編碼；可依研究問題調整</x:v>
      </x:c>
      <x:c r="L106" s="48" t="str">
        <x:v>https://www.president.gov.tw/News/25319</x:v>
      </x:c>
    </x:row>
    <x:row r="107" ht="58" customHeight="1">
      <x:c r="A107" s="45" t="str">
        <x:v>2020-18</x:v>
      </x:c>
      <x:c r="B107" s="45" t="n">
        <x:v>2020</x:v>
      </x:c>
      <x:c r="C107" s="45" t="str">
        <x:v>蔡英文</x:v>
      </x:c>
      <x:c r="D107" s="45" t="str">
        <x:v>產業</x:v>
      </x:c>
      <x:c r="E107" s="46" t="str">
        <x:v>除了已經在進行當中的國艦國造、國機國造，我們會更強力推動軍民技術整合，激發民間製造能量，更進一步進軍航空及太空產業。</x:v>
      </x:c>
      <x:c r="F107" s="47" t="str">
        <x:v>是</x:v>
      </x:c>
      <x:c r="G107" s="47" t="str">
        <x:v>產業升級與創新</x:v>
      </x:c>
      <x:c r="H107" s="47" t="str"/>
      <x:c r="I107" s="47" t="str">
        <x:v>產業升級與創新</x:v>
      </x:c>
      <x:c r="J107" s="47" t="str">
        <x:v>供應鏈韌性與戰略產業</x:v>
      </x:c>
      <x:c r="K107" s="47" t="str">
        <x:v>已逐句初步編碼；可依研究問題調整</x:v>
      </x:c>
      <x:c r="L107" s="48" t="str">
        <x:v>https://www.president.gov.tw/News/25319</x:v>
      </x:c>
    </x:row>
    <x:row r="108" ht="58" customHeight="1">
      <x:c r="A108" s="45" t="str">
        <x:v>2020-19</x:v>
      </x:c>
      <x:c r="B108" s="45" t="n">
        <x:v>2020</x:v>
      </x:c>
      <x:c r="C108" s="45" t="str">
        <x:v>蔡英文</x:v>
      </x:c>
      <x:c r="D108" s="45" t="str">
        <x:v>產業</x:v>
      </x:c>
      <x:c r="E108" s="46" t="str">
        <x:v>第五，我們要加速發展綠電及再生能源產業。</x:v>
      </x:c>
      <x:c r="F108" s="47" t="str">
        <x:v>是</x:v>
      </x:c>
      <x:c r="G108" s="47" t="str">
        <x:v>永續與綠色轉型</x:v>
      </x:c>
      <x:c r="H108" s="47" t="str">
        <x:v>產業升級與創新、政策背景與成果</x:v>
      </x:c>
      <x:c r="I108" s="47" t="str">
        <x:v>永續與綠色轉型、產業升級與創新、政策背景與成果</x:v>
      </x:c>
      <x:c r="J108" s="47" t="str">
        <x:v>供應鏈韌性與戰略產業</x:v>
      </x:c>
      <x:c r="K108" s="47" t="str">
        <x:v>已逐句初步編碼；可依研究問題調整</x:v>
      </x:c>
      <x:c r="L108" s="48" t="str">
        <x:v>https://www.president.gov.tw/News/25319</x:v>
      </x:c>
    </x:row>
    <x:row r="109" ht="58" customHeight="1">
      <x:c r="A109" s="45" t="str">
        <x:v>2020-20</x:v>
      </x:c>
      <x:c r="B109" s="45" t="n">
        <x:v>2020</x:v>
      </x:c>
      <x:c r="C109" s="45" t="str">
        <x:v>蔡英文</x:v>
      </x:c>
      <x:c r="D109" s="45" t="str">
        <x:v>產業</x:v>
      </x:c>
      <x:c r="E109" s="46" t="str">
        <x:v>第六，我們還要建構足以確保關鍵物資供應的民生及戰備產業。</x:v>
      </x:c>
      <x:c r="F109" s="47" t="str">
        <x:v>是</x:v>
      </x:c>
      <x:c r="G109" s="47" t="str">
        <x:v>供應鏈與經濟安全</x:v>
      </x:c>
      <x:c r="H109" s="47" t="str">
        <x:v>產業升級與創新</x:v>
      </x:c>
      <x:c r="I109" s="47" t="str">
        <x:v>供應鏈與經濟安全、產業升級與創新</x:v>
      </x:c>
      <x:c r="J109" s="47" t="str">
        <x:v>供應鏈韌性與戰略產業</x:v>
      </x:c>
      <x:c r="K109" s="47" t="str">
        <x:v>已逐句初步編碼；可依研究問題調整</x:v>
      </x:c>
      <x:c r="L109" s="48" t="str">
        <x:v>https://www.president.gov.tw/News/25319</x:v>
      </x:c>
    </x:row>
    <x:row r="110" ht="58" customHeight="1">
      <x:c r="A110" s="45" t="str">
        <x:v>2020-21</x:v>
      </x:c>
      <x:c r="B110" s="45" t="n">
        <x:v>2020</x:v>
      </x:c>
      <x:c r="C110" s="45" t="str">
        <x:v>蔡英文</x:v>
      </x:c>
      <x:c r="D110" s="45" t="str">
        <x:v>產業</x:v>
      </x:c>
      <x:c r="E110" s="46" t="str">
        <x:v>面對未來的全球秩序變化，從口罩、醫療及民生用品、能源到糧食供應，我們要把重要的產業鏈留在國內，維持一定的自給率。</x:v>
      </x:c>
      <x:c r="F110" s="47" t="str">
        <x:v>是</x:v>
      </x:c>
      <x:c r="G110" s="47" t="str">
        <x:v>供應鏈與經濟安全</x:v>
      </x:c>
      <x:c r="H110" s="47" t="str">
        <x:v>永續與綠色轉型、產業升級與創新</x:v>
      </x:c>
      <x:c r="I110" s="47" t="str">
        <x:v>供應鏈與經濟安全、永續與綠色轉型、產業升級與創新</x:v>
      </x:c>
      <x:c r="J110" s="47" t="str">
        <x:v>供應鏈韌性與戰略產業</x:v>
      </x:c>
      <x:c r="K110" s="47" t="str">
        <x:v>已逐句初步編碼；可依研究問題調整</x:v>
      </x:c>
      <x:c r="L110" s="48" t="str">
        <x:v>https://www.president.gov.tw/News/25319</x:v>
      </x:c>
    </x:row>
    <x:row r="111" ht="58" customHeight="1">
      <x:c r="A111" s="45" t="str">
        <x:v>2020-22</x:v>
      </x:c>
      <x:c r="B111" s="45" t="n">
        <x:v>2020</x:v>
      </x:c>
      <x:c r="C111" s="45" t="str">
        <x:v>蔡英文</x:v>
      </x:c>
      <x:c r="D111" s="45" t="str">
        <x:v>產業</x:v>
      </x:c>
      <x:c r="E111" s="46" t="str">
        <x:v>我要請所有產業界的朋友們放心，政府不會讓產業孤單。</x:v>
      </x:c>
      <x:c r="F111" s="47" t="str">
        <x:v>是</x:v>
      </x:c>
      <x:c r="G111" s="47" t="str">
        <x:v>產業升級與創新</x:v>
      </x:c>
      <x:c r="H111" s="47" t="str"/>
      <x:c r="I111" s="47" t="str">
        <x:v>產業升級與創新</x:v>
      </x:c>
      <x:c r="J111" s="47" t="str">
        <x:v>供應鏈韌性與戰略產業</x:v>
      </x:c>
      <x:c r="K111" s="47" t="str">
        <x:v>已逐句初步編碼；可依研究問題調整</x:v>
      </x:c>
      <x:c r="L111" s="48" t="str">
        <x:v>https://www.president.gov.tw/News/25319</x:v>
      </x:c>
    </x:row>
    <x:row r="112" ht="58" customHeight="1">
      <x:c r="A112" s="45" t="str">
        <x:v>2020-23</x:v>
      </x:c>
      <x:c r="B112" s="45" t="n">
        <x:v>2020</x:v>
      </x:c>
      <x:c r="C112" s="45" t="str">
        <x:v>蔡英文</x:v>
      </x:c>
      <x:c r="D112" s="45" t="str">
        <x:v>產業</x:v>
      </x:c>
      <x:c r="E112" s="46" t="str">
        <x:v>在未來幾年，我們有幾個主要的策略，來全力帶動產業發展。</x:v>
      </x:c>
      <x:c r="F112" s="47" t="str">
        <x:v>是</x:v>
      </x:c>
      <x:c r="G112" s="47" t="str">
        <x:v>產業升級與創新</x:v>
      </x:c>
      <x:c r="H112" s="47" t="str">
        <x:v>政策背景與成果</x:v>
      </x:c>
      <x:c r="I112" s="47" t="str">
        <x:v>產業升級與創新、政策背景與成果</x:v>
      </x:c>
      <x:c r="J112" s="47" t="str">
        <x:v>供應鏈韌性與戰略產業</x:v>
      </x:c>
      <x:c r="K112" s="47" t="str">
        <x:v>已逐句初步編碼；可依研究問題調整</x:v>
      </x:c>
      <x:c r="L112" s="48" t="str">
        <x:v>https://www.president.gov.tw/News/25319</x:v>
      </x:c>
    </x:row>
    <x:row r="113" ht="58" customHeight="1">
      <x:c r="A113" s="45" t="str">
        <x:v>2020-24</x:v>
      </x:c>
      <x:c r="B113" s="45" t="n">
        <x:v>2020</x:v>
      </x:c>
      <x:c r="C113" s="45" t="str">
        <x:v>蔡英文</x:v>
      </x:c>
      <x:c r="D113" s="45" t="str">
        <x:v>產業</x:v>
      </x:c>
      <x:c r="E113" s="46" t="str">
        <x:v>2、產業發展策略首先，我們要將國內需求，作為基礎能量，來帶動產業發展。</x:v>
      </x:c>
      <x:c r="F113" s="47" t="str">
        <x:v>是</x:v>
      </x:c>
      <x:c r="G113" s="47" t="str">
        <x:v>產業升級與創新</x:v>
      </x:c>
      <x:c r="H113" s="47" t="str">
        <x:v>政策背景與成果</x:v>
      </x:c>
      <x:c r="I113" s="47" t="str">
        <x:v>產業升級與創新、政策背景與成果</x:v>
      </x:c>
      <x:c r="J113" s="47" t="str">
        <x:v>供應鏈韌性與戰略產業</x:v>
      </x:c>
      <x:c r="K113" s="47" t="str">
        <x:v>已逐句初步編碼；可依研究問題調整</x:v>
      </x:c>
      <x:c r="L113" s="48" t="str">
        <x:v>https://www.president.gov.tw/News/25319</x:v>
      </x:c>
    </x:row>
    <x:row r="114" ht="58" customHeight="1">
      <x:c r="A114" s="45" t="str">
        <x:v>2020-25</x:v>
      </x:c>
      <x:c r="B114" s="45" t="n">
        <x:v>2020</x:v>
      </x:c>
      <x:c r="C114" s="45" t="str">
        <x:v>蔡英文</x:v>
      </x:c>
      <x:c r="D114" s="45" t="str">
        <x:v>產業</x:v>
      </x:c>
      <x:c r="E114" s="46" t="str">
        <x:v>像是在這次疫情中，口罩等防疫物資的戰略需求，帶動了相關產業的發展，就是最好的例子。</x:v>
      </x:c>
      <x:c r="F114" s="47" t="str">
        <x:v>是</x:v>
      </x:c>
      <x:c r="G114" s="47" t="str">
        <x:v>產業升級與創新</x:v>
      </x:c>
      <x:c r="H114" s="47" t="str">
        <x:v>政策背景與成果</x:v>
      </x:c>
      <x:c r="I114" s="47" t="str">
        <x:v>產業升級與創新、政策背景與成果</x:v>
      </x:c>
      <x:c r="J114" s="47" t="str">
        <x:v>供應鏈韌性與戰略產業</x:v>
      </x:c>
      <x:c r="K114" s="47" t="str">
        <x:v>已逐句初步編碼；可依研究問題調整</x:v>
      </x:c>
      <x:c r="L114" s="48" t="str">
        <x:v>https://www.president.gov.tw/News/25319</x:v>
      </x:c>
    </x:row>
    <x:row r="115" ht="58" customHeight="1">
      <x:c r="A115" s="45" t="str">
        <x:v>2020-26</x:v>
      </x:c>
      <x:c r="B115" s="45" t="n">
        <x:v>2020</x:v>
      </x:c>
      <x:c r="C115" s="45" t="str">
        <x:v>蔡英文</x:v>
      </x:c>
      <x:c r="D115" s="45" t="str">
        <x:v>產業</x:v>
      </x:c>
      <x:c r="E115" s="46" t="str">
        <x:v>我們的國防產業和再生能源產業，也都能循著類似的模式，加速發展。</x:v>
      </x:c>
      <x:c r="F115" s="47" t="str">
        <x:v>是</x:v>
      </x:c>
      <x:c r="G115" s="47" t="str">
        <x:v>供應鏈與經濟安全</x:v>
      </x:c>
      <x:c r="H115" s="47" t="str">
        <x:v>永續與綠色轉型、產業升級與創新</x:v>
      </x:c>
      <x:c r="I115" s="47" t="str">
        <x:v>供應鏈與經濟安全、永續與綠色轉型、產業升級與創新</x:v>
      </x:c>
      <x:c r="J115" s="47" t="str">
        <x:v>供應鏈韌性與戰略產業</x:v>
      </x:c>
      <x:c r="K115" s="47" t="str">
        <x:v>已逐句初步編碼；可依研究問題調整</x:v>
      </x:c>
      <x:c r="L115" s="48" t="str">
        <x:v>https://www.president.gov.tw/News/25319</x:v>
      </x:c>
    </x:row>
    <x:row r="116" ht="58" customHeight="1">
      <x:c r="A116" s="45" t="str">
        <x:v>2020-27</x:v>
      </x:c>
      <x:c r="B116" s="45" t="n">
        <x:v>2020</x:v>
      </x:c>
      <x:c r="C116" s="45" t="str">
        <x:v>蔡英文</x:v>
      </x:c>
      <x:c r="D116" s="45" t="str">
        <x:v>產業</x:v>
      </x:c>
      <x:c r="E116" s="46" t="str">
        <x:v>不只有口罩國家隊，未來，我們也會視各產業的規模及條件，組成國家隊。</x:v>
      </x:c>
      <x:c r="F116" s="47" t="str">
        <x:v>是</x:v>
      </x:c>
      <x:c r="G116" s="47" t="str">
        <x:v>產業升級與創新</x:v>
      </x:c>
      <x:c r="H116" s="47" t="str"/>
      <x:c r="I116" s="47" t="str">
        <x:v>產業升級與創新</x:v>
      </x:c>
      <x:c r="J116" s="47" t="str">
        <x:v>供應鏈韌性與戰略產業</x:v>
      </x:c>
      <x:c r="K116" s="47" t="str">
        <x:v>已逐句初步編碼；可依研究問題調整</x:v>
      </x:c>
      <x:c r="L116" s="48" t="str">
        <x:v>https://www.president.gov.tw/News/25319</x:v>
      </x:c>
    </x:row>
    <x:row r="117" ht="58" customHeight="1">
      <x:c r="A117" s="45" t="str">
        <x:v>2020-28</x:v>
      </x:c>
      <x:c r="B117" s="45" t="n">
        <x:v>2020</x:v>
      </x:c>
      <x:c r="C117" s="45" t="str">
        <x:v>蔡英文</x:v>
      </x:c>
      <x:c r="D117" s="45" t="str">
        <x:v>產業</x:v>
      </x:c>
      <x:c r="E117" s="46" t="str">
        <x:v>再來，我們知道，金融支援是產業發展最重要的環節。</x:v>
      </x:c>
      <x:c r="F117" s="47" t="str">
        <x:v>是</x:v>
      </x:c>
      <x:c r="G117" s="47" t="str">
        <x:v>產業升級與創新</x:v>
      </x:c>
      <x:c r="H117" s="47" t="str">
        <x:v>政策背景與成果</x:v>
      </x:c>
      <x:c r="I117" s="47" t="str">
        <x:v>產業升級與創新、政策背景與成果</x:v>
      </x:c>
      <x:c r="J117" s="47" t="str">
        <x:v>供應鏈韌性與戰略產業</x:v>
      </x:c>
      <x:c r="K117" s="47" t="str">
        <x:v>已逐句初步編碼；可依研究問題調整</x:v>
      </x:c>
      <x:c r="L117" s="48" t="str">
        <x:v>https://www.president.gov.tw/News/25319</x:v>
      </x:c>
    </x:row>
    <x:row r="118" ht="58" customHeight="1">
      <x:c r="A118" s="45" t="str">
        <x:v>2020-29</x:v>
      </x:c>
      <x:c r="B118" s="45" t="n">
        <x:v>2020</x:v>
      </x:c>
      <x:c r="C118" s="45" t="str">
        <x:v>蔡英文</x:v>
      </x:c>
      <x:c r="D118" s="45" t="str">
        <x:v>產業</x:v>
      </x:c>
      <x:c r="E118" s="46" t="str">
        <x:v>未來，我們會採取更靈活的金融政策，持續改革金融體制，運用更多元的金融手段，來協助產業的資金需求。</x:v>
      </x:c>
      <x:c r="F118" s="47" t="str">
        <x:v>是</x:v>
      </x:c>
      <x:c r="G118" s="47" t="str">
        <x:v>產業升級與創新</x:v>
      </x:c>
      <x:c r="H118" s="47" t="str"/>
      <x:c r="I118" s="47" t="str">
        <x:v>產業升級與創新</x:v>
      </x:c>
      <x:c r="J118" s="47" t="str">
        <x:v>供應鏈韌性與戰略產業</x:v>
      </x:c>
      <x:c r="K118" s="47" t="str">
        <x:v>已逐句初步編碼；可依研究問題調整</x:v>
      </x:c>
      <x:c r="L118" s="48" t="str">
        <x:v>https://www.president.gov.tw/News/25319</x:v>
      </x:c>
    </x:row>
    <x:row r="119" ht="58" customHeight="1">
      <x:c r="A119" s="45" t="str">
        <x:v>2020-30</x:v>
      </x:c>
      <x:c r="B119" s="45" t="n">
        <x:v>2020</x:v>
      </x:c>
      <x:c r="C119" s="45" t="str">
        <x:v>蔡英文</x:v>
      </x:c>
      <x:c r="D119" s="45" t="str">
        <x:v>產業</x:v>
      </x:c>
      <x:c r="E119" s="46" t="str">
        <x:v>我們也會全力打造安全的產業環境。</x:v>
      </x:c>
      <x:c r="F119" s="47" t="str">
        <x:v>是</x:v>
      </x:c>
      <x:c r="G119" s="47" t="str">
        <x:v>供應鏈與經濟安全</x:v>
      </x:c>
      <x:c r="H119" s="47" t="str">
        <x:v>產業升級與創新、政策背景與成果</x:v>
      </x:c>
      <x:c r="I119" s="47" t="str">
        <x:v>供應鏈與經濟安全、產業升級與創新、政策背景與成果</x:v>
      </x:c>
      <x:c r="J119" s="47" t="str">
        <x:v>供應鏈韌性與戰略產業</x:v>
      </x:c>
      <x:c r="K119" s="47" t="str">
        <x:v>已逐句初步編碼；可依研究問題調整</x:v>
      </x:c>
      <x:c r="L119" s="48" t="str">
        <x:v>https://www.president.gov.tw/News/25319</x:v>
      </x:c>
    </x:row>
    <x:row r="120" ht="58" customHeight="1">
      <x:c r="A120" s="45" t="str">
        <x:v>2020-31</x:v>
      </x:c>
      <x:c r="B120" s="45" t="n">
        <x:v>2020</x:v>
      </x:c>
      <x:c r="C120" s="45" t="str">
        <x:v>蔡英文</x:v>
      </x:c>
      <x:c r="D120" s="45" t="str">
        <x:v>產業</x:v>
      </x:c>
      <x:c r="E120" s="46" t="str">
        <x:v>有了這些保證，全球的高科技和戰略性產業，才會願意選擇台灣，作為生產和研發基地。</x:v>
      </x:c>
      <x:c r="F120" s="47" t="str">
        <x:v>是</x:v>
      </x:c>
      <x:c r="G120" s="47" t="str">
        <x:v>供應鏈與經濟安全</x:v>
      </x:c>
      <x:c r="H120" s="47" t="str">
        <x:v>產業升級與創新</x:v>
      </x:c>
      <x:c r="I120" s="47" t="str">
        <x:v>供應鏈與經濟安全、產業升級與創新</x:v>
      </x:c>
      <x:c r="J120" s="47" t="str">
        <x:v>供應鏈韌性與戰略產業</x:v>
      </x:c>
      <x:c r="K120" s="47" t="str">
        <x:v>已逐句初步編碼；可依研究問題調整</x:v>
      </x:c>
      <x:c r="L120" s="48" t="str">
        <x:v>https://www.president.gov.tw/News/25319</x:v>
      </x:c>
    </x:row>
    <x:row r="121" ht="58" customHeight="1">
      <x:c r="A121" s="45" t="str">
        <x:v>2020-32</x:v>
      </x:c>
      <x:c r="B121" s="45" t="n">
        <x:v>2020</x:v>
      </x:c>
      <x:c r="C121" s="45" t="str">
        <x:v>蔡英文</x:v>
      </x:c>
      <x:c r="D121" s="45" t="str">
        <x:v>產業</x:v>
      </x:c>
      <x:c r="E121" s="46" t="str">
        <x:v>接下來，我們也要持續引導產業布局全球。</x:v>
      </x:c>
      <x:c r="F121" s="47" t="str">
        <x:v>是</x:v>
      </x:c>
      <x:c r="G121" s="47" t="str">
        <x:v>產業升級與創新</x:v>
      </x:c>
      <x:c r="H121" s="47" t="str"/>
      <x:c r="I121" s="47" t="str">
        <x:v>產業升級與創新</x:v>
      </x:c>
      <x:c r="J121" s="47" t="str">
        <x:v>供應鏈韌性與戰略產業</x:v>
      </x:c>
      <x:c r="K121" s="47" t="str">
        <x:v>已逐句初步編碼；可依研究問題調整</x:v>
      </x:c>
      <x:c r="L121" s="48" t="str">
        <x:v>https://www.president.gov.tw/News/25319</x:v>
      </x:c>
    </x:row>
    <x:row r="122" ht="58" customHeight="1">
      <x:c r="A122" s="45" t="str">
        <x:v>2020-33</x:v>
      </x:c>
      <x:c r="B122" s="45" t="n">
        <x:v>2020</x:v>
      </x:c>
      <x:c r="C122" s="45" t="str">
        <x:v>蔡英文</x:v>
      </x:c>
      <x:c r="D122" s="45" t="str">
        <x:v>產業</x:v>
      </x:c>
      <x:c r="E122" s="46" t="str">
        <x:v>我們持續推動新南向政策的同時，也會積極開拓其他有潛力的市場，鼓勵廠商前往布局，為產業的國際合作，創造更有利的條件。</x:v>
      </x:c>
      <x:c r="F122" s="47" t="str">
        <x:v>是</x:v>
      </x:c>
      <x:c r="G122" s="47" t="str">
        <x:v>全球化與經貿整合</x:v>
      </x:c>
      <x:c r="H122" s="47" t="str">
        <x:v>產業升級與創新</x:v>
      </x:c>
      <x:c r="I122" s="47" t="str">
        <x:v>全球化與經貿整合、產業升級與創新</x:v>
      </x:c>
      <x:c r="J122" s="47" t="str">
        <x:v>供應鏈韌性與戰略產業</x:v>
      </x:c>
      <x:c r="K122" s="47" t="str">
        <x:v>已逐句初步編碼；可依研究問題調整</x:v>
      </x:c>
      <x:c r="L122" s="48" t="str">
        <x:v>https://www.president.gov.tw/News/25319</x:v>
      </x:c>
    </x:row>
    <x:row r="123" ht="58" customHeight="1">
      <x:c r="A123" s="45" t="str">
        <x:v>2020-34</x:v>
      </x:c>
      <x:c r="B123" s="45" t="n">
        <x:v>2020</x:v>
      </x:c>
      <x:c r="C123" s="45" t="str">
        <x:v>蔡英文</x:v>
      </x:c>
      <x:c r="D123" s="45" t="str">
        <x:v>經濟</x:v>
      </x:c>
      <x:c r="E123" s="46" t="str">
        <x:v>台灣要成為全球經濟的關鍵力量，就必須匯聚各方的人才。</x:v>
      </x:c>
      <x:c r="F123" s="47" t="str">
        <x:v>是</x:v>
      </x:c>
      <x:c r="G123" s="47" t="str">
        <x:v>全球化與經貿整合</x:v>
      </x:c>
      <x:c r="H123" s="47" t="str">
        <x:v>政策背景與成果</x:v>
      </x:c>
      <x:c r="I123" s="47" t="str">
        <x:v>全球化與經貿整合、政策背景與成果</x:v>
      </x:c>
      <x:c r="J123" s="47" t="str">
        <x:v>供應鏈韌性與戰略產業</x:v>
      </x:c>
      <x:c r="K123" s="47" t="str">
        <x:v>已逐句初步編碼；可依研究問題調整</x:v>
      </x:c>
      <x:c r="L123" s="48" t="str">
        <x:v>https://www.president.gov.tw/News/25319</x:v>
      </x:c>
    </x:row>
    <x:row r="124" ht="58" customHeight="1">
      <x:c r="A124" s="45" t="str">
        <x:v>2020-35</x:v>
      </x:c>
      <x:c r="B124" s="45" t="n">
        <x:v>2020</x:v>
      </x:c>
      <x:c r="C124" s="45" t="str">
        <x:v>蔡英文</x:v>
      </x:c>
      <x:c r="D124" s="45" t="str">
        <x:v>產業</x:v>
      </x:c>
      <x:c r="E124" s="46" t="str">
        <x:v>蔡英文的政府，會全力爭取國際上最頂尖的技術、研發和管理人才，讓台灣產業的團隊能夠更加國際化，擁有全球競爭的視野和能力。</x:v>
      </x:c>
      <x:c r="F124" s="47" t="str">
        <x:v>是</x:v>
      </x:c>
      <x:c r="G124" s="47" t="str">
        <x:v>全球化與經貿整合</x:v>
      </x:c>
      <x:c r="H124" s="47" t="str">
        <x:v>產業升級與創新</x:v>
      </x:c>
      <x:c r="I124" s="47" t="str">
        <x:v>全球化與經貿整合、產業升級與創新</x:v>
      </x:c>
      <x:c r="J124" s="47" t="str">
        <x:v>供應鏈韌性與戰略產業</x:v>
      </x:c>
      <x:c r="K124" s="47" t="str">
        <x:v>已逐句初步編碼；可依研究問題調整</x:v>
      </x:c>
      <x:c r="L124" s="48" t="str">
        <x:v>https://www.president.gov.tw/News/25319</x:v>
      </x:c>
    </x:row>
    <x:row r="125" ht="58" customHeight="1">
      <x:c r="A125" s="45" t="str">
        <x:v>2020-36</x:v>
      </x:c>
      <x:c r="B125" s="45" t="n">
        <x:v>2020</x:v>
      </x:c>
      <x:c r="C125" s="45" t="str">
        <x:v>蔡英文</x:v>
      </x:c>
      <x:c r="D125" s="45" t="str">
        <x:v>產業</x:v>
      </x:c>
      <x:c r="E125" s="46" t="str">
        <x:v>未來，台灣更要和國際進一步接軌，我們將在雙語國家及數位領域上，培養更多的本土人才和菁英，讓產業有更強的國際競爭力。</x:v>
      </x:c>
      <x:c r="F125" s="47" t="str">
        <x:v>是</x:v>
      </x:c>
      <x:c r="G125" s="47" t="str">
        <x:v>產業升級與創新</x:v>
      </x:c>
      <x:c r="H125" s="47" t="str">
        <x:v>成長與競爭力</x:v>
      </x:c>
      <x:c r="I125" s="47" t="str">
        <x:v>產業升級與創新、成長與競爭力</x:v>
      </x:c>
      <x:c r="J125" s="47" t="str">
        <x:v>供應鏈韌性與戰略產業</x:v>
      </x:c>
      <x:c r="K125" s="47" t="str">
        <x:v>已逐句初步編碼；可依研究問題調整</x:v>
      </x:c>
      <x:c r="L125" s="48" t="str">
        <x:v>https://www.president.gov.tw/News/25319</x:v>
      </x:c>
    </x:row>
    <x:row r="126" ht="58" customHeight="1">
      <x:c r="A126" s="45" t="str">
        <x:v>2020-37</x:v>
      </x:c>
      <x:c r="B126" s="45" t="n">
        <x:v>2020</x:v>
      </x:c>
      <x:c r="C126" s="45" t="str">
        <x:v>蔡英文</x:v>
      </x:c>
      <x:c r="D126" s="45" t="str">
        <x:v>經濟、產業</x:v>
      </x:c>
      <x:c r="E126" s="46" t="str">
        <x:v>未來四年，更融通的金流、更活水的人流、更強勁的產業實力、更與世界緊密連結的台灣，將開啟嶄新的經濟格局，迎向繁榮新時代。</x:v>
      </x:c>
      <x:c r="F126" s="47" t="str">
        <x:v>是</x:v>
      </x:c>
      <x:c r="G126" s="47" t="str">
        <x:v>產業升級與創新</x:v>
      </x:c>
      <x:c r="H126" s="47" t="str">
        <x:v>成長與競爭力、政策背景與成果</x:v>
      </x:c>
      <x:c r="I126" s="47" t="str">
        <x:v>產業升級與創新、成長與競爭力、政策背景與成果</x:v>
      </x:c>
      <x:c r="J126" s="47" t="str">
        <x:v>供應鏈韌性與戰略產業</x:v>
      </x:c>
      <x:c r="K126" s="47" t="str">
        <x:v>已逐句初步編碼；可依研究問題調整</x:v>
      </x:c>
      <x:c r="L126" s="48" t="str">
        <x:v>https://www.president.gov.tw/News/25319</x:v>
      </x:c>
    </x:row>
    <x:row r="127" ht="58" customHeight="1">
      <x:c r="A127" s="45" t="str">
        <x:v>2020-38</x:v>
      </x:c>
      <x:c r="B127" s="45" t="n">
        <x:v>2020</x:v>
      </x:c>
      <x:c r="C127" s="45" t="str">
        <x:v>蔡英文</x:v>
      </x:c>
      <x:c r="D127" s="45" t="str">
        <x:v>產業</x:v>
      </x:c>
      <x:c r="E127" s="46" t="str">
        <x:v>(二)社會安定：醫療健康網、社會安全網，接住每個需要幫助的人產業發展的同時，我們不會忘記社會安定，也是人民對政府的重要期待。</x:v>
      </x:c>
      <x:c r="F127" s="47" t="str">
        <x:v>是</x:v>
      </x:c>
      <x:c r="G127" s="47" t="str">
        <x:v>產業升級與創新</x:v>
      </x:c>
      <x:c r="H127" s="47" t="str">
        <x:v>政策背景與成果</x:v>
      </x:c>
      <x:c r="I127" s="47" t="str">
        <x:v>產業升級與創新、政策背景與成果</x:v>
      </x:c>
      <x:c r="J127" s="47" t="str">
        <x:v>供應鏈韌性與戰略產業</x:v>
      </x:c>
      <x:c r="K127" s="47" t="str">
        <x:v>已逐句初步編碼；可依研究問題調整</x:v>
      </x:c>
      <x:c r="L127" s="48" t="str">
        <x:v>https://www.president.gov.tw/News/25319</x:v>
      </x:c>
    </x:row>
    <x:row r="128" ht="58" customHeight="1">
      <x:c r="A128" s="45" t="str">
        <x:v>2020-39</x:v>
      </x:c>
      <x:c r="B128" s="45" t="n">
        <x:v>2020</x:v>
      </x:c>
      <x:c r="C128" s="45" t="str">
        <x:v>蔡英文</x:v>
      </x:c>
      <x:c r="D128" s="45" t="str">
        <x:v>產業</x:v>
      </x:c>
      <x:c r="E128" s="46" t="str">
        <x:v>因此我們必須強化疫病防治和醫療能量，結合產業，在疫苗和藥物的開發、以及傳染病防治的領域，有更多突破，讓人民可以更健康、受到更好的照顧。</x:v>
      </x:c>
      <x:c r="F128" s="47" t="str">
        <x:v>是</x:v>
      </x:c>
      <x:c r="G128" s="47" t="str">
        <x:v>產業升級與創新</x:v>
      </x:c>
      <x:c r="H128" s="47" t="str"/>
      <x:c r="I128" s="47" t="str">
        <x:v>產業升級與創新</x:v>
      </x:c>
      <x:c r="J128" s="47" t="str">
        <x:v>供應鏈韌性與戰略產業</x:v>
      </x:c>
      <x:c r="K128" s="47" t="str">
        <x:v>已逐句初步編碼；可依研究問題調整</x:v>
      </x:c>
      <x:c r="L128" s="48" t="str">
        <x:v>https://www.president.gov.tw/News/25319</x:v>
      </x:c>
    </x:row>
    <x:row r="129" ht="58" customHeight="1">
      <x:c r="A129" s="45" t="str">
        <x:v>2020-40</x:v>
      </x:c>
      <x:c r="B129" s="45" t="n">
        <x:v>2020</x:v>
      </x:c>
      <x:c r="C129" s="45" t="str">
        <x:v>蔡英文</x:v>
      </x:c>
      <x:c r="D129" s="45" t="str">
        <x:v>轉型</x:v>
      </x:c>
      <x:c r="E129" s="46" t="str">
        <x:v>但是司改還在轉型期，現階段的成果，和人民的期待，還有一段距離。</x:v>
      </x:c>
      <x:c r="F129" s="47" t="str">
        <x:v>否</x:v>
      </x:c>
      <x:c r="G129" s="47" t="str">
        <x:v>非經濟用法</x:v>
      </x:c>
      <x:c r="H129" s="47" t="str"/>
      <x:c r="I129" s="47" t="str">
        <x:v>詞形命中，但語意屬政治、教育、文化、個人成長或制度改革</x:v>
      </x:c>
      <x:c r="J129" s="47" t="str">
        <x:v>供應鏈韌性與戰略產業</x:v>
      </x:c>
      <x:c r="K129" s="47" t="str">
        <x:v>已逐句初步編碼；可依研究問題調整</x:v>
      </x:c>
      <x:c r="L129" s="48" t="str">
        <x:v>https://www.president.gov.tw/News/25319</x:v>
      </x:c>
    </x:row>
    <x:row r="130" ht="58" customHeight="1">
      <x:c r="A130" s="45" t="str">
        <x:v>2020-41</x:v>
      </x:c>
      <x:c r="B130" s="45" t="n">
        <x:v>2020</x:v>
      </x:c>
      <x:c r="C130" s="45" t="str">
        <x:v>蔡英文</x:v>
      </x:c>
      <x:c r="D130" s="45" t="str">
        <x:v>轉型</x:v>
      </x:c>
      <x:c r="E130" s="46" t="str">
        <x:v>監察院的國家人權委員會，將在今年八月掛牌成立，它將是台灣落實「人權立國」理念的里程碑，也是監察院轉型的起點。</x:v>
      </x:c>
      <x:c r="F130" s="47" t="str">
        <x:v>否</x:v>
      </x:c>
      <x:c r="G130" s="47" t="str">
        <x:v>非經濟用法</x:v>
      </x:c>
      <x:c r="H130" s="47" t="str"/>
      <x:c r="I130" s="47" t="str">
        <x:v>詞形命中，但語意屬政治、教育、文化、個人成長或制度改革</x:v>
      </x:c>
      <x:c r="J130" s="47" t="str">
        <x:v>供應鏈韌性與戰略產業</x:v>
      </x:c>
      <x:c r="K130" s="47" t="str">
        <x:v>已逐句初步編碼；可依研究問題調整</x:v>
      </x:c>
      <x:c r="L130" s="48" t="str">
        <x:v>https://www.president.gov.tw/News/25319</x:v>
      </x:c>
    </x:row>
    <x:row r="131" ht="58" customHeight="1">
      <x:c r="A131" s="45" t="str">
        <x:v>2020-42</x:v>
      </x:c>
      <x:c r="B131" s="45" t="n">
        <x:v>2020</x:v>
      </x:c>
      <x:c r="C131" s="45" t="str">
        <x:v>蔡英文</x:v>
      </x:c>
      <x:c r="D131" s="45" t="str">
        <x:v>轉型</x:v>
      </x:c>
      <x:c r="E131" s="46" t="str">
        <x:v>我也會請九月上任的考試院新團隊，提出完整的改革方案，檢討過去的思維，轉型為稱職的國家人力資源部門，培育現代政府所需要的治理人才。</x:v>
      </x:c>
      <x:c r="F131" s="47" t="str">
        <x:v>否</x:v>
      </x:c>
      <x:c r="G131" s="47" t="str">
        <x:v>非經濟用法</x:v>
      </x:c>
      <x:c r="H131" s="47" t="str"/>
      <x:c r="I131" s="47" t="str">
        <x:v>詞形命中，但語意屬政治、教育、文化、個人成長或制度改革</x:v>
      </x:c>
      <x:c r="J131" s="47" t="str">
        <x:v>供應鏈韌性與戰略產業</x:v>
      </x:c>
      <x:c r="K131" s="47" t="str">
        <x:v>已逐句初步編碼；可依研究問題調整</x:v>
      </x:c>
      <x:c r="L131" s="48" t="str">
        <x:v>https://www.president.gov.tw/News/25319</x:v>
      </x:c>
    </x:row>
    <x:row r="132" ht="58" customHeight="1">
      <x:c r="A132" s="45" t="str">
        <x:v>2020-43</x:v>
      </x:c>
      <x:c r="B132" s="45" t="n">
        <x:v>2020</x:v>
      </x:c>
      <x:c r="C132" s="45" t="str">
        <x:v>蔡英文</x:v>
      </x:c>
      <x:c r="D132" s="45" t="str">
        <x:v>產業</x:v>
      </x:c>
      <x:c r="E132" s="46" t="str">
        <x:v>今天我們的現場，有很多防疫英雄：口罩國家隊上中下游產業成員、疫情指揮中心的公衛團隊、以及蘇貞昌院長帶領的政府團隊。</x:v>
      </x:c>
      <x:c r="F132" s="47" t="str">
        <x:v>是</x:v>
      </x:c>
      <x:c r="G132" s="47" t="str">
        <x:v>產業升級與創新</x:v>
      </x:c>
      <x:c r="H132" s="47" t="str"/>
      <x:c r="I132" s="47" t="str">
        <x:v>產業升級與創新</x:v>
      </x:c>
      <x:c r="J132" s="47" t="str">
        <x:v>供應鏈韌性與戰略產業</x:v>
      </x:c>
      <x:c r="K132" s="47" t="str">
        <x:v>已逐句初步編碼；可依研究問題調整</x:v>
      </x:c>
      <x:c r="L132" s="48" t="str">
        <x:v>https://www.president.gov.tw/News/25319</x:v>
      </x:c>
    </x:row>
    <x:row r="133" ht="58" customHeight="1">
      <x:c r="A133" s="45" t="str">
        <x:v>2024-01</x:v>
      </x:c>
      <x:c r="B133" s="45" t="n">
        <x:v>2024</x:v>
      </x:c>
      <x:c r="C133" s="45" t="str">
        <x:v>賴清德</x:v>
      </x:c>
      <x:c r="D133" s="45" t="str">
        <x:v>創新</x:v>
      </x:c>
      <x:c r="E133" s="46" t="str">
        <x:v>行政院卓榮泰院長率領的內閣團隊，也將優先解決對社會有益、朝野有共識的議題，以積極行動、創新思維，解決民瘼，來回應民意、服務人民。</x:v>
      </x:c>
      <x:c r="F133" s="47" t="str">
        <x:v>否</x:v>
      </x:c>
      <x:c r="G133" s="47" t="str">
        <x:v>非經濟用法</x:v>
      </x:c>
      <x:c r="H133" s="47" t="str"/>
      <x:c r="I133" s="47" t="str">
        <x:v>詞形命中，但語意屬政治、教育、文化、個人成長或制度改革</x:v>
      </x:c>
      <x:c r="J133" s="47" t="str">
        <x:v>AI、雙軸轉型與經濟安全</x:v>
      </x:c>
      <x:c r="K133" s="47" t="str">
        <x:v>已逐句初步編碼；可依研究問題調整</x:v>
      </x:c>
      <x:c r="L133" s="48" t="str">
        <x:v>https://www.president.gov.tw/Page/700</x:v>
      </x:c>
    </x:row>
    <x:row r="134" ht="58" customHeight="1">
      <x:c r="A134" s="45" t="str">
        <x:v>2024-02</x:v>
      </x:c>
      <x:c r="B134" s="45" t="n">
        <x:v>2024</x:v>
      </x:c>
      <x:c r="C134" s="45" t="str">
        <x:v>賴清德</x:v>
      </x:c>
      <x:c r="D134" s="45" t="str">
        <x:v>產業</x:v>
      </x:c>
      <x:c r="E134" s="46" t="str">
        <x:v>中央政府已經規劃投入285.5億元，來協助重建及產業振興，幫助花蓮民眾可以儘早恢復正常生活。</x:v>
      </x:c>
      <x:c r="F134" s="47" t="str">
        <x:v>是</x:v>
      </x:c>
      <x:c r="G134" s="47" t="str">
        <x:v>產業升級與創新</x:v>
      </x:c>
      <x:c r="H134" s="47" t="str">
        <x:v>成長與競爭力</x:v>
      </x:c>
      <x:c r="I134" s="47" t="str">
        <x:v>產業升級與創新、成長與競爭力</x:v>
      </x:c>
      <x:c r="J134" s="47" t="str">
        <x:v>AI、雙軸轉型與經濟安全</x:v>
      </x:c>
      <x:c r="K134" s="47" t="str">
        <x:v>已逐句初步編碼；可依研究問題調整</x:v>
      </x:c>
      <x:c r="L134" s="48" t="str">
        <x:v>https://www.president.gov.tw/Page/700</x:v>
      </x:c>
    </x:row>
    <x:row r="135" ht="58" customHeight="1">
      <x:c r="A135" s="45" t="str">
        <x:v>2024-03</x:v>
      </x:c>
      <x:c r="B135" s="45" t="n">
        <x:v>2024</x:v>
      </x:c>
      <x:c r="C135" s="45" t="str">
        <x:v>賴清德</x:v>
      </x:c>
      <x:c r="D135" s="45" t="str">
        <x:v>經濟、經濟安全</x:v>
      </x:c>
      <x:c r="E135" s="46" t="str">
        <x:v>面對來自中國的各種威脅滲透，我們必須展現守護國家的決心，提升全民保家衛國的意識，健全國安法制，並且積極落實「和平四大支柱行動方案」，強化國防力量，建構經濟安全，展現穩定而有原則的兩岸關係領導能力，以及推動價值外交，跟全球民主國家肩並肩，形成和平共同體，來發揮威懾力量，避免戰爭發生，靠實力達到和平的目標！</x:v>
      </x:c>
      <x:c r="F135" s="47" t="str">
        <x:v>是</x:v>
      </x:c>
      <x:c r="G135" s="47" t="str">
        <x:v>供應鏈與經濟安全</x:v>
      </x:c>
      <x:c r="H135" s="47" t="str">
        <x:v>政策背景與成果</x:v>
      </x:c>
      <x:c r="I135" s="47" t="str">
        <x:v>供應鏈與經濟安全、政策背景與成果</x:v>
      </x:c>
      <x:c r="J135" s="47" t="str">
        <x:v>AI、雙軸轉型與經濟安全</x:v>
      </x:c>
      <x:c r="K135" s="47" t="str">
        <x:v>已逐句初步編碼；可依研究問題調整</x:v>
      </x:c>
      <x:c r="L135" s="48" t="str">
        <x:v>https://www.president.gov.tw/Page/700</x:v>
      </x:c>
    </x:row>
    <x:row r="136" ht="58" customHeight="1">
      <x:c r="A136" s="45" t="str">
        <x:v>2024-04</x:v>
      </x:c>
      <x:c r="B136" s="45" t="n">
        <x:v>2024</x:v>
      </x:c>
      <x:c r="C136" s="45" t="str">
        <x:v>賴清德</x:v>
      </x:c>
      <x:c r="D136" s="45" t="str">
        <x:v>經濟、供應鏈</x:v>
      </x:c>
      <x:c r="E136" s="46" t="str">
        <x:v>現在的臺灣，掌握半導體先進製程技術，站在AI革命的中心，是「全球民主供應鏈」的關鍵，影響世界經濟發展，以及人類生活的幸福與繁榮。</x:v>
      </x:c>
      <x:c r="F136" s="47" t="str">
        <x:v>是</x:v>
      </x:c>
      <x:c r="G136" s="47" t="str">
        <x:v>供應鏈與經濟安全</x:v>
      </x:c>
      <x:c r="H136" s="47" t="str">
        <x:v>產業升級與創新、成長與競爭力</x:v>
      </x:c>
      <x:c r="I136" s="47" t="str">
        <x:v>供應鏈與經濟安全、產業升級與創新、成長與競爭力</x:v>
      </x:c>
      <x:c r="J136" s="47" t="str">
        <x:v>AI、雙軸轉型與經濟安全</x:v>
      </x:c>
      <x:c r="K136" s="47" t="str">
        <x:v>已逐句初步編碼；可依研究問題調整</x:v>
      </x:c>
      <x:c r="L136" s="48" t="str">
        <x:v>https://www.president.gov.tw/Page/700</x:v>
      </x:c>
    </x:row>
    <x:row r="137" ht="58" customHeight="1">
      <x:c r="A137" s="45" t="str">
        <x:v>2024-05</x:v>
      </x:c>
      <x:c r="B137" s="45" t="n">
        <x:v>2024</x:v>
      </x:c>
      <x:c r="C137" s="45" t="str">
        <x:v>賴清德</x:v>
      </x:c>
      <x:c r="D137" s="45" t="str">
        <x:v>產業</x:v>
      </x:c>
      <x:c r="E137" s="46" t="str">
        <x:v>我們要走對的路，產業要大展身手，做世界繁榮的推手，讓臺灣每前進一步，世界就向前一步！</x:v>
      </x:c>
      <x:c r="F137" s="47" t="str">
        <x:v>是</x:v>
      </x:c>
      <x:c r="G137" s="47" t="str">
        <x:v>產業升級與創新</x:v>
      </x:c>
      <x:c r="H137" s="47" t="str">
        <x:v>成長與競爭力</x:v>
      </x:c>
      <x:c r="I137" s="47" t="str">
        <x:v>產業升級與創新、成長與競爭力</x:v>
      </x:c>
      <x:c r="J137" s="47" t="str">
        <x:v>AI、雙軸轉型與經濟安全</x:v>
      </x:c>
      <x:c r="K137" s="47" t="str">
        <x:v>已逐句初步編碼；可依研究問題調整</x:v>
      </x:c>
      <x:c r="L137" s="48" t="str">
        <x:v>https://www.president.gov.tw/Page/700</x:v>
      </x:c>
    </x:row>
    <x:row r="138" ht="58" customHeight="1">
      <x:c r="A138" s="45" t="str">
        <x:v>2024-06</x:v>
      </x:c>
      <x:c r="B138" s="45" t="n">
        <x:v>2024</x:v>
      </x:c>
      <x:c r="C138" s="45" t="str">
        <x:v>賴清德</x:v>
      </x:c>
      <x:c r="D138" s="45" t="str">
        <x:v>產業</x:v>
      </x:c>
      <x:c r="E138" s="46" t="str">
        <x:v>過去，我擔任行政院長、副總統，到全國各地的產業拜訪，我了解臺灣產業的潛力和需求。</x:v>
      </x:c>
      <x:c r="F138" s="47" t="str">
        <x:v>是</x:v>
      </x:c>
      <x:c r="G138" s="47" t="str">
        <x:v>產業升級與創新</x:v>
      </x:c>
      <x:c r="H138" s="47" t="str"/>
      <x:c r="I138" s="47" t="str">
        <x:v>產業升級與創新</x:v>
      </x:c>
      <x:c r="J138" s="47" t="str">
        <x:v>AI、雙軸轉型與經濟安全</x:v>
      </x:c>
      <x:c r="K138" s="47" t="str">
        <x:v>已逐句初步編碼；可依研究問題調整</x:v>
      </x:c>
      <x:c r="L138" s="48" t="str">
        <x:v>https://www.president.gov.tw/Page/700</x:v>
      </x:c>
    </x:row>
    <x:row r="139" ht="58" customHeight="1">
      <x:c r="A139" s="45" t="str">
        <x:v>2024-07</x:v>
      </x:c>
      <x:c r="B139" s="45" t="n">
        <x:v>2024</x:v>
      </x:c>
      <x:c r="C139" s="45" t="str">
        <x:v>賴清德</x:v>
      </x:c>
      <x:c r="D139" s="45" t="str">
        <x:v>產業</x:v>
      </x:c>
      <x:c r="E139" s="46" t="str">
        <x:v>未來，政府會跟產業界密切合作，把握三大方向，推動臺灣的發展。</x:v>
      </x:c>
      <x:c r="F139" s="47" t="str">
        <x:v>是</x:v>
      </x:c>
      <x:c r="G139" s="47" t="str">
        <x:v>產業升級與創新</x:v>
      </x:c>
      <x:c r="H139" s="47" t="str">
        <x:v>政策背景與成果</x:v>
      </x:c>
      <x:c r="I139" s="47" t="str">
        <x:v>產業升級與創新、政策背景與成果</x:v>
      </x:c>
      <x:c r="J139" s="47" t="str">
        <x:v>AI、雙軸轉型與經濟安全</x:v>
      </x:c>
      <x:c r="K139" s="47" t="str">
        <x:v>已逐句初步編碼；可依研究問題調整</x:v>
      </x:c>
      <x:c r="L139" s="48" t="str">
        <x:v>https://www.president.gov.tw/Page/700</x:v>
      </x:c>
    </x:row>
    <x:row r="140" ht="58" customHeight="1">
      <x:c r="A140" s="45" t="str">
        <x:v>2024-08</x:v>
      </x:c>
      <x:c r="B140" s="45" t="n">
        <x:v>2024</x:v>
      </x:c>
      <x:c r="C140" s="45" t="str">
        <x:v>賴清德</x:v>
      </x:c>
      <x:c r="D140" s="45" t="str">
        <x:v>轉型</x:v>
      </x:c>
      <x:c r="E140" s="46" t="str">
        <x:v>面對氣候危機，我們必須堅定地落實2050淨零轉型。</x:v>
      </x:c>
      <x:c r="F140" s="47" t="str">
        <x:v>是</x:v>
      </x:c>
      <x:c r="G140" s="47" t="str">
        <x:v>永續與綠色轉型</x:v>
      </x:c>
      <x:c r="H140" s="47" t="str">
        <x:v>產業升級與創新</x:v>
      </x:c>
      <x:c r="I140" s="47" t="str">
        <x:v>永續與綠色轉型、產業升級與創新</x:v>
      </x:c>
      <x:c r="J140" s="47" t="str">
        <x:v>AI、雙軸轉型與經濟安全</x:v>
      </x:c>
      <x:c r="K140" s="47" t="str">
        <x:v>已逐句初步編碼；可依研究問題調整</x:v>
      </x:c>
      <x:c r="L140" s="48" t="str">
        <x:v>https://www.president.gov.tw/Page/700</x:v>
      </x:c>
    </x:row>
    <x:row r="141" ht="58" customHeight="1">
      <x:c r="A141" s="45" t="str">
        <x:v>2024-09</x:v>
      </x:c>
      <x:c r="B141" s="45" t="n">
        <x:v>2024</x:v>
      </x:c>
      <x:c r="C141" s="45" t="str">
        <x:v>賴清德</x:v>
      </x:c>
      <x:c r="D141" s="45" t="str">
        <x:v>經濟、產業、創新</x:v>
      </x:c>
      <x:c r="E141" s="46" t="str">
        <x:v>面對全球智慧化的挑戰，我們站在半導體晶片矽島的基礎上，將全力推動臺灣成為「人工智慧之島」，促成人工智慧產業化，加速人工智慧的創新應用，並讓產業人工智慧化，用人工智慧的算力，來提升國力、軍力、人力和經濟力。</x:v>
      </x:c>
      <x:c r="F141" s="47" t="str">
        <x:v>是</x:v>
      </x:c>
      <x:c r="G141" s="47" t="str">
        <x:v>產業升級與創新</x:v>
      </x:c>
      <x:c r="H141" s="47" t="str">
        <x:v>成長與競爭力、政策背景與成果</x:v>
      </x:c>
      <x:c r="I141" s="47" t="str">
        <x:v>產業升級與創新、成長與競爭力、政策背景與成果</x:v>
      </x:c>
      <x:c r="J141" s="47" t="str">
        <x:v>AI、雙軸轉型與經濟安全</x:v>
      </x:c>
      <x:c r="K141" s="47" t="str">
        <x:v>已逐句初步編碼；可依研究問題調整</x:v>
      </x:c>
      <x:c r="L141" s="48" t="str">
        <x:v>https://www.president.gov.tw/Page/700</x:v>
      </x:c>
    </x:row>
    <x:row r="142" ht="58" customHeight="1">
      <x:c r="A142" s="45" t="str">
        <x:v>2024-10</x:v>
      </x:c>
      <x:c r="B142" s="45" t="n">
        <x:v>2024</x:v>
      </x:c>
      <x:c r="C142" s="45" t="str">
        <x:v>賴清德</x:v>
      </x:c>
      <x:c r="D142" s="45" t="str">
        <x:v>經濟、成長、創新、轉型</x:v>
      </x:c>
      <x:c r="E142" s="46" t="str">
        <x:v>我們也必須發展創新驅動的經濟模式，透過數位轉型，以及淨零轉型的雙軸力量，來協助中小企業升級轉型，追求包容性成長，打造智慧永續新臺灣，創造臺灣第二次經濟奇蹟。</x:v>
      </x:c>
      <x:c r="F142" s="47" t="str">
        <x:v>是</x:v>
      </x:c>
      <x:c r="G142" s="47" t="str">
        <x:v>永續與綠色轉型</x:v>
      </x:c>
      <x:c r="H142" s="47" t="str">
        <x:v>產業升級與創新、成長與競爭力</x:v>
      </x:c>
      <x:c r="I142" s="47" t="str">
        <x:v>永續與綠色轉型、產業升級與創新、成長與競爭力</x:v>
      </x:c>
      <x:c r="J142" s="47" t="str">
        <x:v>AI、雙軸轉型與經濟安全</x:v>
      </x:c>
      <x:c r="K142" s="47" t="str">
        <x:v>已逐句初步編碼；可依研究問題調整</x:v>
      </x:c>
      <x:c r="L142" s="48" t="str">
        <x:v>https://www.president.gov.tw/Page/700</x:v>
      </x:c>
    </x:row>
    <x:row r="143" ht="58" customHeight="1">
      <x:c r="A143" s="45" t="str">
        <x:v>2024-11</x:v>
      </x:c>
      <x:c r="B143" s="45" t="n">
        <x:v>2024</x:v>
      </x:c>
      <x:c r="C143" s="45" t="str">
        <x:v>賴清德</x:v>
      </x:c>
      <x:c r="D143" s="45" t="str">
        <x:v>產業、供應鏈</x:v>
      </x:c>
      <x:c r="E143" s="46" t="str">
        <x:v>我們立定目標，要讓臺灣成為無人機民主供應鏈的亞洲中心，也要發展下一個世代通訊的中低軌道衛星，進軍全球太空產業。</x:v>
      </x:c>
      <x:c r="F143" s="47" t="str">
        <x:v>是</x:v>
      </x:c>
      <x:c r="G143" s="47" t="str">
        <x:v>供應鏈與經濟安全</x:v>
      </x:c>
      <x:c r="H143" s="47" t="str">
        <x:v>產業升級與創新、政策背景與成果</x:v>
      </x:c>
      <x:c r="I143" s="47" t="str">
        <x:v>供應鏈與經濟安全、產業升級與創新、政策背景與成果</x:v>
      </x:c>
      <x:c r="J143" s="47" t="str">
        <x:v>AI、雙軸轉型與經濟安全</x:v>
      </x:c>
      <x:c r="K143" s="47" t="str">
        <x:v>已逐句初步編碼；可依研究問題調整</x:v>
      </x:c>
      <x:c r="L143" s="48" t="str">
        <x:v>https://www.president.gov.tw/Page/700</x:v>
      </x:c>
    </x:row>
    <x:row r="144" ht="58" customHeight="1">
      <x:c r="A144" s="45" t="str">
        <x:v>2024-12</x:v>
      </x:c>
      <x:c r="B144" s="45" t="n">
        <x:v>2024</x:v>
      </x:c>
      <x:c r="C144" s="45" t="str">
        <x:v>賴清德</x:v>
      </x:c>
      <x:c r="D144" s="45" t="str">
        <x:v>產業</x:v>
      </x:c>
      <x:c r="E144" s="46" t="str">
        <x:v>我們更要探索海洋，發揮海洋國家的優勢，豐富人民的海洋生活，並且投入海洋科技研究，推動海洋產業發展，提升國家競爭力。</x:v>
      </x:c>
      <x:c r="F144" s="47" t="str">
        <x:v>是</x:v>
      </x:c>
      <x:c r="G144" s="47" t="str">
        <x:v>產業升級與創新</x:v>
      </x:c>
      <x:c r="H144" s="47" t="str">
        <x:v>成長與競爭力、政策背景與成果</x:v>
      </x:c>
      <x:c r="I144" s="47" t="str">
        <x:v>產業升級與創新、成長與競爭力、政策背景與成果</x:v>
      </x:c>
      <x:c r="J144" s="47" t="str">
        <x:v>AI、雙軸轉型與經濟安全</x:v>
      </x:c>
      <x:c r="K144" s="47" t="str">
        <x:v>已逐句初步編碼；可依研究問題調整</x:v>
      </x:c>
      <x:c r="L144" s="48" t="str">
        <x:v>https://www.president.gov.tw/Page/700</x:v>
      </x:c>
    </x:row>
    <x:row r="145" ht="58" customHeight="1">
      <x:c r="A145" s="45" t="str">
        <x:v>2024-13</x:v>
      </x:c>
      <x:c r="B145" s="45" t="n">
        <x:v>2024</x:v>
      </x:c>
      <x:c r="C145" s="45" t="str">
        <x:v>賴清德</x:v>
      </x:c>
      <x:c r="D145" s="45" t="str">
        <x:v>經濟、產業</x:v>
      </x:c>
      <x:c r="E145" s="46" t="str">
        <x:v>我們要讓臺灣的經濟與產業，往更多面向發展，無遠弗屆。</x:v>
      </x:c>
      <x:c r="F145" s="47" t="str">
        <x:v>是</x:v>
      </x:c>
      <x:c r="G145" s="47" t="str">
        <x:v>產業升級與創新</x:v>
      </x:c>
      <x:c r="H145" s="47" t="str">
        <x:v>政策背景與成果</x:v>
      </x:c>
      <x:c r="I145" s="47" t="str">
        <x:v>產業升級與創新、政策背景與成果</x:v>
      </x:c>
      <x:c r="J145" s="47" t="str">
        <x:v>AI、雙軸轉型與經濟安全</x:v>
      </x:c>
      <x:c r="K145" s="47" t="str">
        <x:v>已逐句初步編碼；可依研究問題調整</x:v>
      </x:c>
      <x:c r="L145" s="48" t="str">
        <x:v>https://www.president.gov.tw/Page/700</x:v>
      </x:c>
    </x:row>
    <x:row r="146" ht="58" customHeight="1">
      <x:c r="A146" s="45" t="str">
        <x:v>2024-14</x:v>
      </x:c>
      <x:c r="B146" s="45" t="n">
        <x:v>2024</x:v>
      </x:c>
      <x:c r="C146" s="45" t="str">
        <x:v>賴清德</x:v>
      </x:c>
      <x:c r="D146" s="45" t="str">
        <x:v>經濟、產業</x:v>
      </x:c>
      <x:c r="E146" s="46" t="str">
        <x:v>臺灣已經申請加入CPTPP，我們會積極爭取加入區域經濟整合；跟世界民主國家簽訂雙邊投資保障協定，深化貿易夥伴關係；並解決碳關稅問題，進一步開拓產業發展空間。</x:v>
      </x:c>
      <x:c r="F146" s="47" t="str">
        <x:v>是</x:v>
      </x:c>
      <x:c r="G146" s="47" t="str">
        <x:v>永續與綠色轉型</x:v>
      </x:c>
      <x:c r="H146" s="47" t="str">
        <x:v>全球化與經貿整合、產業升級與創新</x:v>
      </x:c>
      <x:c r="I146" s="47" t="str">
        <x:v>永續與綠色轉型、全球化與經貿整合、產業升級與創新</x:v>
      </x:c>
      <x:c r="J146" s="47" t="str">
        <x:v>AI、雙軸轉型與經濟安全</x:v>
      </x:c>
      <x:c r="K146" s="47" t="str">
        <x:v>已逐句初步編碼；可依研究問題調整</x:v>
      </x:c>
      <x:c r="L146" s="48" t="str">
        <x:v>https://www.president.gov.tw/Page/700</x:v>
      </x:c>
    </x:row>
    <x:row r="147" ht="58" customHeight="1">
      <x:c r="A147" s="45" t="str">
        <x:v>2024-15</x:v>
      </x:c>
      <x:c r="B147" s="45" t="n">
        <x:v>2024</x:v>
      </x:c>
      <x:c r="C147" s="45" t="str">
        <x:v>賴清德</x:v>
      </x:c>
      <x:c r="D147" s="45" t="str">
        <x:v>產業、供應鏈</x:v>
      </x:c>
      <x:c r="E147" s="46" t="str">
        <x:v>我們也要站穩全球供應鏈的關鍵地位，好好把握地緣政治變化所帶來的商機，發展半導體、人工智慧、軍工、安控，以及次世代通訊等「五大信賴產業」，並且持續改善投資環境，歡迎臺商回臺投資，鼓勵在地的企業擴大投資，根留臺灣。</x:v>
      </x:c>
      <x:c r="F147" s="47" t="str">
        <x:v>是</x:v>
      </x:c>
      <x:c r="G147" s="47" t="str">
        <x:v>供應鏈與經濟安全</x:v>
      </x:c>
      <x:c r="H147" s="47" t="str">
        <x:v>產業升級與創新、成長與競爭力</x:v>
      </x:c>
      <x:c r="I147" s="47" t="str">
        <x:v>供應鏈與經濟安全、產業升級與創新、成長與競爭力</x:v>
      </x:c>
      <x:c r="J147" s="47" t="str">
        <x:v>AI、雙軸轉型與經濟安全</x:v>
      </x:c>
      <x:c r="K147" s="47" t="str">
        <x:v>已逐句初步編碼；可依研究問題調整</x:v>
      </x:c>
      <x:c r="L147" s="48" t="str">
        <x:v>https://www.president.gov.tw/Page/700</x:v>
      </x:c>
    </x:row>
    <x:row r="148" ht="58" customHeight="1">
      <x:c r="A148" s="45" t="str">
        <x:v>2024-16</x:v>
      </x:c>
      <x:c r="B148" s="45" t="n">
        <x:v>2024</x:v>
      </x:c>
      <x:c r="C148" s="45" t="str">
        <x:v>賴清德</x:v>
      </x:c>
      <x:c r="D148" s="45" t="str">
        <x:v>產業</x:v>
      </x:c>
      <x:c r="E148" s="46" t="str">
        <x:v>我要向各行各業的朋友保證：各位有雄心壯志，追求頂尖，政府也有決心鼎力相助，讓臺灣的產業能夠立足臺灣、布局全球、行銷全世界！</x:v>
      </x:c>
      <x:c r="F148" s="47" t="str">
        <x:v>是</x:v>
      </x:c>
      <x:c r="G148" s="47" t="str">
        <x:v>產業升級與創新</x:v>
      </x:c>
      <x:c r="H148" s="47" t="str"/>
      <x:c r="I148" s="47" t="str">
        <x:v>產業升級與創新</x:v>
      </x:c>
      <x:c r="J148" s="47" t="str">
        <x:v>AI、雙軸轉型與經濟安全</x:v>
      </x:c>
      <x:c r="K148" s="47" t="str">
        <x:v>已逐句初步編碼；可依研究問題調整</x:v>
      </x:c>
      <x:c r="L148" s="48" t="str">
        <x:v>https://www.president.gov.tw/Page/700</x:v>
      </x:c>
    </x:row>
    <x:row r="149" ht="58" customHeight="1">
      <x:c r="A149" s="45" t="str">
        <x:v>2024-17</x:v>
      </x:c>
      <x:c r="B149" s="45" t="n">
        <x:v>2024</x:v>
      </x:c>
      <x:c r="C149" s="45" t="str">
        <x:v>賴清德</x:v>
      </x:c>
      <x:c r="D149" s="45" t="str">
        <x:v>經濟</x:v>
      </x:c>
      <x:c r="E149" s="46" t="str">
        <x:v>臺灣絕對有能力，成為「經濟日不落國」，無論太陽從哪裡升起，都可以照到臺灣的企業，造福當地的發展，也讓臺灣人民能夠有更富足的生活！</x:v>
      </x:c>
      <x:c r="F149" s="47" t="str">
        <x:v>是</x:v>
      </x:c>
      <x:c r="G149" s="47" t="str">
        <x:v>成長與競爭力</x:v>
      </x:c>
      <x:c r="H149" s="47" t="str">
        <x:v>政策背景與成果</x:v>
      </x:c>
      <x:c r="I149" s="47" t="str">
        <x:v>成長與競爭力、政策背景與成果</x:v>
      </x:c>
      <x:c r="J149" s="47" t="str">
        <x:v>AI、雙軸轉型與經濟安全</x:v>
      </x:c>
      <x:c r="K149" s="47" t="str">
        <x:v>已逐句初步編碼；可依研究問題調整</x:v>
      </x:c>
      <x:c r="L149" s="48" t="str">
        <x:v>https://www.president.gov.tw/Page/700</x:v>
      </x:c>
    </x:row>
    <x:row r="150" ht="58" customHeight="1">
      <x:c r="A150" s="45" t="str">
        <x:v>2024-18</x:v>
      </x:c>
      <x:c r="B150" s="45" t="n">
        <x:v>2024</x:v>
      </x:c>
      <x:c r="C150" s="45" t="str">
        <x:v>賴清德</x:v>
      </x:c>
      <x:c r="D150" s="45" t="str">
        <x:v>經濟</x:v>
      </x:c>
      <x:c r="E150" s="46" t="str">
        <x:v>五、樂民之樂，憂民之憂我相信，經濟發展的果實，應該為全民所共享。</x:v>
      </x:c>
      <x:c r="F150" s="47" t="str">
        <x:v>是</x:v>
      </x:c>
      <x:c r="G150" s="47" t="str">
        <x:v>就業與分配</x:v>
      </x:c>
      <x:c r="H150" s="47" t="str">
        <x:v>成長與競爭力、政策背景與成果</x:v>
      </x:c>
      <x:c r="I150" s="47" t="str">
        <x:v>就業與分配、成長與競爭力、政策背景與成果</x:v>
      </x:c>
      <x:c r="J150" s="47" t="str">
        <x:v>AI、雙軸轉型與經濟安全</x:v>
      </x:c>
      <x:c r="K150" s="47" t="str">
        <x:v>已逐句初步編碼；可依研究問題調整</x:v>
      </x:c>
      <x:c r="L150" s="48" t="str">
        <x:v>https://www.president.gov.tw/Page/700</x:v>
      </x:c>
    </x:row>
    <x:row r="151" ht="58" customHeight="1">
      <x:c r="A151" s="45" t="str">
        <x:v>2024-19</x:v>
      </x:c>
      <x:c r="B151" s="45" t="n">
        <x:v>2024</x:v>
      </x:c>
      <x:c r="C151" s="45" t="str">
        <x:v>賴清德</x:v>
      </x:c>
      <x:c r="D151" s="45" t="str">
        <x:v>轉型</x:v>
      </x:c>
      <x:c r="E151" s="46" t="str">
        <x:v>未來，幼托、長照、社會住宅等服務，要延續擴大；物價、房價、貧富差距等問題，要不斷改善；食品安全、道路安全、校園安全、社會安全網等保障，要持續強化；還有，對於教育、司法、轉型正義等各項改革工作，也都要繼續做下去！</x:v>
      </x:c>
      <x:c r="F151" s="47" t="str">
        <x:v>否</x:v>
      </x:c>
      <x:c r="G151" s="47" t="str">
        <x:v>非經濟用法</x:v>
      </x:c>
      <x:c r="H151" s="47" t="str"/>
      <x:c r="I151" s="47" t="str">
        <x:v>詞形命中，但語意屬政治、教育、文化、個人成長或制度改革</x:v>
      </x:c>
      <x:c r="J151" s="47" t="str">
        <x:v>AI、雙軸轉型與經濟安全</x:v>
      </x:c>
      <x:c r="K151" s="47" t="str">
        <x:v>已逐句初步編碼；可依研究問題調整</x:v>
      </x:c>
      <x:c r="L151" s="48" t="str">
        <x:v>https://www.president.gov.tw/Page/700</x:v>
      </x:c>
    </x:row>
    <x:row r="152" ht="58" customHeight="1">
      <x:c r="A152" s="45" t="str">
        <x:v>2024-20</x:v>
      </x:c>
      <x:c r="B152" s="45" t="n">
        <x:v>2024</x:v>
      </x:c>
      <x:c r="C152" s="45" t="str">
        <x:v>賴清德</x:v>
      </x:c>
      <x:c r="D152" s="45" t="str">
        <x:v>產業</x:v>
      </x:c>
      <x:c r="E152" s="46" t="str">
        <x:v>大家希望收入更高，我會推動產業升級，創造更好的薪資環境。</x:v>
      </x:c>
      <x:c r="F152" s="47" t="str">
        <x:v>是</x:v>
      </x:c>
      <x:c r="G152" s="47" t="str">
        <x:v>就業與分配</x:v>
      </x:c>
      <x:c r="H152" s="47" t="str">
        <x:v>產業升級與創新、政策背景與成果</x:v>
      </x:c>
      <x:c r="I152" s="47" t="str">
        <x:v>就業與分配、產業升級與創新、政策背景與成果</x:v>
      </x:c>
      <x:c r="J152" s="47" t="str">
        <x:v>AI、雙軸轉型與經濟安全</x:v>
      </x:c>
      <x:c r="K152" s="47" t="str">
        <x:v>已逐句初步編碼；可依研究問題調整</x:v>
      </x:c>
      <x:c r="L152" s="48" t="str">
        <x:v>https://www.president.gov.tw/Page/700</x:v>
      </x:c>
    </x:row>
    <x:row r="153" ht="58" customHeight="1">
      <x:c r="A153" s="45" t="str">
        <x:v>2024-21</x:v>
      </x:c>
      <x:c r="B153" s="45" t="n">
        <x:v>2024</x:v>
      </x:c>
      <x:c r="C153" s="45" t="str">
        <x:v>賴清德</x:v>
      </x:c>
      <x:c r="D153" s="45" t="str">
        <x:v>轉型</x:v>
      </x:c>
      <x:c r="E153" s="46" t="str">
        <x:v>大家需要供電穩定，我會推動第二次能源轉型，發展多元綠能、智慧電網，強化電力系統的韌性。</x:v>
      </x:c>
      <x:c r="F153" s="47" t="str">
        <x:v>是</x:v>
      </x:c>
      <x:c r="G153" s="47" t="str">
        <x:v>永續與綠色轉型</x:v>
      </x:c>
      <x:c r="H153" s="47" t="str">
        <x:v>產業升級與創新、政策背景與成果</x:v>
      </x:c>
      <x:c r="I153" s="47" t="str">
        <x:v>永續與綠色轉型、產業升級與創新、政策背景與成果</x:v>
      </x:c>
      <x:c r="J153" s="47" t="str">
        <x:v>AI、雙軸轉型與經濟安全</x:v>
      </x:c>
      <x:c r="K153" s="47" t="str">
        <x:v>已逐句初步編碼；可依研究問題調整</x:v>
      </x:c>
      <x:c r="L153" s="48" t="str">
        <x:v>https://www.president.gov.tw/Page/700</x:v>
      </x:c>
    </x:row>
    <x:row r="154" ht="58" customHeight="1">
      <x:c r="A154" s="45" t="str">
        <x:v>2024-22</x:v>
      </x:c>
      <x:c r="B154" s="45" t="n">
        <x:v>2024</x:v>
      </x:c>
      <x:c r="C154" s="45" t="str">
        <x:v>賴清德</x:v>
      </x:c>
      <x:c r="D154" s="45" t="str">
        <x:v>產業</x:v>
      </x:c>
      <x:c r="E154" s="46" t="str">
        <x:v>大家期待政府能夠幫助家庭照顧者減輕負擔，以及協助產業改善缺工的困境，這些問題，我都會積極解決。</x:v>
      </x:c>
      <x:c r="F154" s="47" t="str">
        <x:v>是</x:v>
      </x:c>
      <x:c r="G154" s="47" t="str">
        <x:v>就業與分配</x:v>
      </x:c>
      <x:c r="H154" s="47" t="str">
        <x:v>產業升級與創新</x:v>
      </x:c>
      <x:c r="I154" s="47" t="str">
        <x:v>就業與分配、產業升級與創新</x:v>
      </x:c>
      <x:c r="J154" s="47" t="str">
        <x:v>AI、雙軸轉型與經濟安全</x:v>
      </x:c>
      <x:c r="K154" s="47" t="str">
        <x:v>已逐句初步編碼；可依研究問題調整</x:v>
      </x:c>
      <x:c r="L154" s="48" t="str">
        <x:v>https://www.president.gov.tw/Page/700</x:v>
      </x:c>
    </x:row>
    <x:row r="155" ht="58" customHeight="1">
      <x:c r="A155" s="45" t="str">
        <x:v>2024-23</x:v>
      </x:c>
      <x:c r="B155" s="45" t="n">
        <x:v>2024</x:v>
      </x:c>
      <x:c r="C155" s="45" t="str">
        <x:v>賴清德</x:v>
      </x:c>
      <x:c r="D155" s="45" t="str">
        <x:v>經濟、創新</x:v>
      </x:c>
      <x:c r="E155" s="46" t="str">
        <x:v>未來的臺灣，會有更多元發展的創新經濟，會有更普及的數位科技應用，會有更好的競爭力和雙語力，會有更強大的公共支持服務體系，也會有更尊重性別平等的環境，讓每一位國民的權利受到保障。</x:v>
      </x:c>
      <x:c r="F155" s="47" t="str">
        <x:v>是</x:v>
      </x:c>
      <x:c r="G155" s="47" t="str">
        <x:v>產業升級與創新</x:v>
      </x:c>
      <x:c r="H155" s="47" t="str">
        <x:v>成長與競爭力、政策背景與成果</x:v>
      </x:c>
      <x:c r="I155" s="47" t="str">
        <x:v>產業升級與創新、成長與競爭力、政策背景與成果</x:v>
      </x:c>
      <x:c r="J155" s="47" t="str">
        <x:v>AI、雙軸轉型與經濟安全</x:v>
      </x:c>
      <x:c r="K155" s="47" t="str">
        <x:v>已逐句初步編碼；可依研究問題調整</x:v>
      </x:c>
      <x:c r="L155" s="48" t="str">
        <x:v>https://www.president.gov.tw/Page/700</x:v>
      </x:c>
    </x:row>
    <x:row r="156" ht="58" customHeight="1">
      <x:c r="A156" s="49" t="str">
        <x:v>2024-24</x:v>
      </x:c>
      <x:c r="B156" s="49" t="n">
        <x:v>2024</x:v>
      </x:c>
      <x:c r="C156" s="49" t="str">
        <x:v>賴清德</x:v>
      </x:c>
      <x:c r="D156" s="49" t="str">
        <x:v>產業</x:v>
      </x:c>
      <x:c r="E156" s="50" t="str">
        <x:v>未來的臺灣，更要讓每一個縣市，依據特色發展，推動地方創生產業，落實「均衡臺灣」的目標，處處可以安居，人人可以樂業！</x:v>
      </x:c>
      <x:c r="F156" s="51" t="str">
        <x:v>是</x:v>
      </x:c>
      <x:c r="G156" s="51" t="str">
        <x:v>就業與分配</x:v>
      </x:c>
      <x:c r="H156" s="51" t="str">
        <x:v>產業升級與創新、政策背景與成果</x:v>
      </x:c>
      <x:c r="I156" s="51" t="str">
        <x:v>就業與分配、產業升級與創新、政策背景與成果</x:v>
      </x:c>
      <x:c r="J156" s="51" t="str">
        <x:v>AI、雙軸轉型與經濟安全</x:v>
      </x:c>
      <x:c r="K156" s="51" t="str">
        <x:v>已逐句初步編碼；可依研究問題調整</x:v>
      </x:c>
      <x:c r="L156" s="52" t="str">
        <x:v>https://www.president.gov.tw/Page/700</x:v>
      </x:c>
    </x:row>
  </x:sheetData>
  <x:mergeCells>
    <x:mergeCell ref="A2:L2"/>
    <x:mergeCell ref="A3:L3"/>
  </x:mergeCells>
  <x:conditionalFormatting sqref="G5:G156">
    <x:cfRule type="containsText" dxfId="5" priority="1" operator="containsText" text="非經濟用法"/>
    <x:cfRule type="containsText" dxfId="6" priority="2" operator="containsText" text="供應鏈與經濟安全"/>
    <x:cfRule type="containsText" dxfId="7" priority="3" operator="containsText" text="產業升級與創新"/>
  </x:conditionalFormatting>
  <x:dataValidations count="2">
    <x:dataValidation type="list" sqref="F5:F156">
      <x:formula1>"是,否,部分"</x:formula1>
    </x:dataValidation>
    <x:dataValidation type="list" sqref="G5:G156">
      <x:formula1>"成長與競爭力,產業升級與創新,就業與分配,全球化與經貿整合,永續與綠色轉型,供應鏈與經濟安全,政策背景與成果,非經濟用法"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615b34e0146b7"/>
  </x:tableParts>
</x:worksheet>
</file>